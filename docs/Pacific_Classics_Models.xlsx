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s" sheetId="1" state="visible" r:id="rId3"/>
    <sheet name="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Subjective durability score (5 = can realistically pass 500,000 km with normal maintenance).</t>
        </r>
      </text>
    </comment>
    <comment ref="O5" authorId="0">
      <text>
        <r>
          <rPr>
            <sz val="10"/>
            <rFont val="Arial"/>
            <family val="2"/>
          </rPr>
          <t xml:space="preserve">Latest model year that is already 30 years old in the reference year. Buy units from this year or older for FIVA/FR/CZ/DE historic plates.</t>
        </r>
      </text>
    </comment>
    <comment ref="Q5" authorId="0">
      <text>
        <r>
          <rPr>
            <sz val="10"/>
            <rFont val="Arial"/>
            <family val="2"/>
          </rPr>
          <t xml:space="preserve">Italy ASI Certificato di Rilevanza Storica threshold (20 years).</t>
        </r>
      </text>
    </comment>
  </commentList>
</comments>
</file>

<file path=xl/sharedStrings.xml><?xml version="1.0" encoding="utf-8"?>
<sst xmlns="http://schemas.openxmlformats.org/spreadsheetml/2006/main" count="646" uniqueCount="515">
  <si>
    <t xml:space="preserve">Pacific Classics — Bulletproof Classics &amp; Youngtimers, Europe (1980–2011)</t>
  </si>
  <si>
    <t xml:space="preserve">Historic registration eligibility is calculated from the Rules sheet. Yellow columns are for your own deal tracking.</t>
  </si>
  <si>
    <t xml:space="preserve">#</t>
  </si>
  <si>
    <t xml:space="preserve">Make</t>
  </si>
  <si>
    <t xml:space="preserve">Model</t>
  </si>
  <si>
    <t xml:space="preserve">Chassis</t>
  </si>
  <si>
    <t xml:space="preserve">Type · Segment</t>
  </si>
  <si>
    <t xml:space="preserve">Prod. from</t>
  </si>
  <si>
    <t xml:space="preserve">Prod. to</t>
  </si>
  <si>
    <t xml:space="preserve">Recommended engines</t>
  </si>
  <si>
    <t xml:space="preserve">Why it's bulletproof</t>
  </si>
  <si>
    <t xml:space="preserve">Watch out for</t>
  </si>
  <si>
    <t xml:space="preserve">Reliability (1-5)</t>
  </si>
  <si>
    <t xml:space="preserve">FIVA/EU 30y: first eligible year</t>
  </si>
  <si>
    <t xml:space="preserve">FIVA/EU 30y: all units eligible</t>
  </si>
  <si>
    <t xml:space="preserve">Italy ASI CRS 20y: first eligible year</t>
  </si>
  <si>
    <t xml:space="preserve">Eligible up to model year (30y)</t>
  </si>
  <si>
    <t xml:space="preserve">FIVA status today</t>
  </si>
  <si>
    <t xml:space="preserve">Italy CRS status today</t>
  </si>
  <si>
    <t xml:space="preserve">Buy price DE/CZ (€)</t>
  </si>
  <si>
    <t xml:space="preserve">Resale price IT (€)</t>
  </si>
  <si>
    <t xml:space="preserve">Est. costs (€)</t>
  </si>
  <si>
    <t xml:space="preserve">Est. margin (€)</t>
  </si>
  <si>
    <t xml:space="preserve">Notes</t>
  </si>
  <si>
    <t xml:space="preserve">Mercedes-Benz</t>
  </si>
  <si>
    <t xml:space="preserve">190</t>
  </si>
  <si>
    <t xml:space="preserve">W201</t>
  </si>
  <si>
    <t xml:space="preserve">Sedan · Classic 1980s–90s</t>
  </si>
  <si>
    <t xml:space="preserve">2.0D, 2.5D, 2.0/2.3 petrol</t>
  </si>
  <si>
    <t xml:space="preserve">Over-engineered; engines run 500,000+ km</t>
  </si>
  <si>
    <t xml:space="preserve">Rust: wheel arches, jacking points</t>
  </si>
  <si>
    <t xml:space="preserve">E-Class</t>
  </si>
  <si>
    <t xml:space="preserve">W124</t>
  </si>
  <si>
    <t xml:space="preserve">Sedan / Estate / Coupé · Classic 1980s–90s</t>
  </si>
  <si>
    <t xml:space="preserve">200D/250D/300D (OM60x), 230E, 300E (M103)</t>
  </si>
  <si>
    <t xml:space="preserve">The benchmark; taxis with 1,000,000 km</t>
  </si>
  <si>
    <t xml:space="preserve">Biodegradable wiring 1993-95, rust</t>
  </si>
  <si>
    <t xml:space="preserve">W123 (late units)</t>
  </si>
  <si>
    <t xml:space="preserve">W123</t>
  </si>
  <si>
    <t xml:space="preserve">Sedan / Estate · Classic 1980s–90s</t>
  </si>
  <si>
    <t xml:space="preserve">240D, 300D, 230E</t>
  </si>
  <si>
    <t xml:space="preserve">Indestructible, very simple mechanics</t>
  </si>
  <si>
    <t xml:space="preserve">Structural rust</t>
  </si>
  <si>
    <t xml:space="preserve">S-Class</t>
  </si>
  <si>
    <t xml:space="preserve">W126</t>
  </si>
  <si>
    <t xml:space="preserve">Sedan / Coupé · Classic 1980s–90s</t>
  </si>
  <si>
    <t xml:space="preserve">300SE, 420SE, 300SD</t>
  </si>
  <si>
    <t xml:space="preserve">Flagship build quality, everlasting engines</t>
  </si>
  <si>
    <t xml:space="preserve">Parts cost, climate control</t>
  </si>
  <si>
    <t xml:space="preserve">SL</t>
  </si>
  <si>
    <t xml:space="preserve">R107</t>
  </si>
  <si>
    <t xml:space="preserve">Roadster · Classic 1980s–90s</t>
  </si>
  <si>
    <t xml:space="preserve">300SL, 420SL, 500SL</t>
  </si>
  <si>
    <t xml:space="preserve">Very robust roadster, already an investment</t>
  </si>
  <si>
    <t xml:space="preserve">Rust under carpets</t>
  </si>
  <si>
    <t xml:space="preserve">G-Class</t>
  </si>
  <si>
    <t xml:space="preserve">W460 / W463</t>
  </si>
  <si>
    <t xml:space="preserve">4x4 · Classic 1980s–90s</t>
  </si>
  <si>
    <t xml:space="preserve">300GD, 250GD, 230GE</t>
  </si>
  <si>
    <t xml:space="preserve">Military-grade DNA</t>
  </si>
  <si>
    <t xml:space="preserve">Rust on frame and doors</t>
  </si>
  <si>
    <t xml:space="preserve">R129</t>
  </si>
  <si>
    <t xml:space="preserve">300SL, SL320, 500SL</t>
  </si>
  <si>
    <t xml:space="preserve">Built like a tank</t>
  </si>
  <si>
    <t xml:space="preserve">Soft-top hydraulics/electronics</t>
  </si>
  <si>
    <t xml:space="preserve">Volvo</t>
  </si>
  <si>
    <t xml:space="preserve">240 / 245</t>
  </si>
  <si>
    <t xml:space="preserve">240</t>
  </si>
  <si>
    <t xml:space="preserve">B230F / B230FK</t>
  </si>
  <si>
    <t xml:space="preserve">The Swedish brick, 500,000+ km is normal</t>
  </si>
  <si>
    <t xml:space="preserve">Little; rust in low areas</t>
  </si>
  <si>
    <t xml:space="preserve">740 / 760</t>
  </si>
  <si>
    <t xml:space="preserve">700 series</t>
  </si>
  <si>
    <t xml:space="preserve">B230F, B230FT turbo</t>
  </si>
  <si>
    <t xml:space="preserve">Same mechanics as the 240</t>
  </si>
  <si>
    <t xml:space="preserve">Worn automatic gearbox</t>
  </si>
  <si>
    <t xml:space="preserve">940 / 960</t>
  </si>
  <si>
    <t xml:space="preserve">900 series</t>
  </si>
  <si>
    <t xml:space="preserve">B230F/FT, 2.4 TD</t>
  </si>
  <si>
    <t xml:space="preserve">Evolution of the 740, easy parts</t>
  </si>
  <si>
    <t xml:space="preserve">960 six-cylinder more delicate</t>
  </si>
  <si>
    <t xml:space="preserve">850</t>
  </si>
  <si>
    <t xml:space="preserve">2.0/2.5 5-cyl naturally aspirated</t>
  </si>
  <si>
    <t xml:space="preserve">Very robust 5-cylinder</t>
  </si>
  <si>
    <t xml:space="preserve">AW50 automatic gearbox</t>
  </si>
  <si>
    <t xml:space="preserve">Toyota</t>
  </si>
  <si>
    <t xml:space="preserve">Land Cruiser</t>
  </si>
  <si>
    <t xml:space="preserve">J60 / J70 / J80</t>
  </si>
  <si>
    <t xml:space="preserve">1HZ, 1HD-T, 12H-T, 3F</t>
  </si>
  <si>
    <t xml:space="preserve">Possibly the most reliable vehicle ever made</t>
  </si>
  <si>
    <t xml:space="preserve">High prices, frame rust</t>
  </si>
  <si>
    <t xml:space="preserve">Hilux / 4Runner</t>
  </si>
  <si>
    <t xml:space="preserve">N50-N100</t>
  </si>
  <si>
    <t xml:space="preserve">Pick-up / 4x4 · Classic 1980s–90s</t>
  </si>
  <si>
    <t xml:space="preserve">2L, 2L-T, 22R</t>
  </si>
  <si>
    <t xml:space="preserve">Legendary, practically immortal</t>
  </si>
  <si>
    <t xml:space="preserve">Frame</t>
  </si>
  <si>
    <t xml:space="preserve">Corolla</t>
  </si>
  <si>
    <t xml:space="preserve">E80 / E90 / E100</t>
  </si>
  <si>
    <t xml:space="preserve">Hatchback / Sedan · Classic 1980s–90s</t>
  </si>
  <si>
    <t xml:space="preserve">4A-FE, 2C diesel</t>
  </si>
  <si>
    <t xml:space="preserve">Minimal maintenance, endless km</t>
  </si>
  <si>
    <t xml:space="preserve">Rust on arches</t>
  </si>
  <si>
    <t xml:space="preserve">Camry / Carina II / Carina E</t>
  </si>
  <si>
    <t xml:space="preserve">V20-V30 / T150-T190</t>
  </si>
  <si>
    <t xml:space="preserve">3S-FE, 2C</t>
  </si>
  <si>
    <t xml:space="preserve">3S engines near indestructible</t>
  </si>
  <si>
    <t xml:space="preserve">Few well-kept examples</t>
  </si>
  <si>
    <t xml:space="preserve">Celica / MR2 / Supra Mk3</t>
  </si>
  <si>
    <t xml:space="preserve">T160-T180 / W10-W20 / A70</t>
  </si>
  <si>
    <t xml:space="preserve">Sports · Classic 1980s–90s</t>
  </si>
  <si>
    <t xml:space="preserve">3S-GE, 7M-GTE</t>
  </si>
  <si>
    <t xml:space="preserve">Reliable Japanese sports cars</t>
  </si>
  <si>
    <t xml:space="preserve">7M head gasket</t>
  </si>
  <si>
    <t xml:space="preserve">Previa</t>
  </si>
  <si>
    <t xml:space="preserve">XR10</t>
  </si>
  <si>
    <t xml:space="preserve">MPV · Classic 1980s–90s</t>
  </si>
  <si>
    <t xml:space="preserve">2TZ-FE</t>
  </si>
  <si>
    <t xml:space="preserve">'Eternal' people carrier</t>
  </si>
  <si>
    <t xml:space="preserve">Body parts availability</t>
  </si>
  <si>
    <t xml:space="preserve">Lexus</t>
  </si>
  <si>
    <t xml:space="preserve">LS400</t>
  </si>
  <si>
    <t xml:space="preserve">XF10</t>
  </si>
  <si>
    <t xml:space="preserve">1UZ-FE V8</t>
  </si>
  <si>
    <t xml:space="preserve">Most reliable V8 ever, 1,000,000 km</t>
  </si>
  <si>
    <t xml:space="preserve">Few in Europe, fuel consumption</t>
  </si>
  <si>
    <t xml:space="preserve">Honda</t>
  </si>
  <si>
    <t xml:space="preserve">Civic / CRX / Accord / Prelude</t>
  </si>
  <si>
    <t xml:space="preserve">various</t>
  </si>
  <si>
    <t xml:space="preserve">Hatchback / Coupé / Sedan · Classic 1980s–90s</t>
  </si>
  <si>
    <t xml:space="preserve">D16, B16, F20/F22</t>
  </si>
  <si>
    <t xml:space="preserve">Very solid VTEC and non-VTEC engines</t>
  </si>
  <si>
    <t xml:space="preserve">Rust, modified examples</t>
  </si>
  <si>
    <t xml:space="preserve">Mazda</t>
  </si>
  <si>
    <t xml:space="preserve">MX-5</t>
  </si>
  <si>
    <t xml:space="preserve">NA</t>
  </si>
  <si>
    <t xml:space="preserve">1.6, 1.8</t>
  </si>
  <si>
    <t xml:space="preserve">Simple and highly reliable</t>
  </si>
  <si>
    <t xml:space="preserve">Sill rust</t>
  </si>
  <si>
    <t xml:space="preserve">323 / 626</t>
  </si>
  <si>
    <t xml:space="preserve">BF-BA / GC-GE</t>
  </si>
  <si>
    <t xml:space="preserve">B6, FE, RF diesel</t>
  </si>
  <si>
    <t xml:space="preserve">Cheap and robust</t>
  </si>
  <si>
    <t xml:space="preserve">Rust</t>
  </si>
  <si>
    <t xml:space="preserve">Nissan</t>
  </si>
  <si>
    <t xml:space="preserve">Patrol / Terrano I</t>
  </si>
  <si>
    <t xml:space="preserve">Y60 / GR / WD21</t>
  </si>
  <si>
    <t xml:space="preserve">TD42, RD28</t>
  </si>
  <si>
    <t xml:space="preserve">TD42 among the toughest diesels ever</t>
  </si>
  <si>
    <t xml:space="preserve">Sunny / Micra / 200SX</t>
  </si>
  <si>
    <t xml:space="preserve">N13-N14 / K10 / S13</t>
  </si>
  <si>
    <t xml:space="preserve">Hatchback / Coupé · Classic 1980s–90s</t>
  </si>
  <si>
    <t xml:space="preserve">GA16, MA10, CA18DET</t>
  </si>
  <si>
    <t xml:space="preserve">Micra K10 near indestructible</t>
  </si>
  <si>
    <t xml:space="preserve">Mitsubishi</t>
  </si>
  <si>
    <t xml:space="preserve">Pajero</t>
  </si>
  <si>
    <t xml:space="preserve">I / II</t>
  </si>
  <si>
    <t xml:space="preserve">2.5 TD (4D56), 3.0 V6</t>
  </si>
  <si>
    <t xml:space="preserve">Very robust, Dakar winner</t>
  </si>
  <si>
    <t xml:space="preserve">2.8 TD cylinder head</t>
  </si>
  <si>
    <t xml:space="preserve">Galant / Lancer / L200</t>
  </si>
  <si>
    <t xml:space="preserve">Sedan / Pick-up · Classic 1980s–90s</t>
  </si>
  <si>
    <t xml:space="preserve">4G63, 4D56</t>
  </si>
  <si>
    <t xml:space="preserve">4G63 very robust</t>
  </si>
  <si>
    <t xml:space="preserve">Subaru</t>
  </si>
  <si>
    <t xml:space="preserve">Legacy / Impreza</t>
  </si>
  <si>
    <t xml:space="preserve">BC-BD / GC</t>
  </si>
  <si>
    <t xml:space="preserve">EJ18/EJ20 naturally aspirated</t>
  </si>
  <si>
    <t xml:space="preserve">Robust boxer + AWD</t>
  </si>
  <si>
    <t xml:space="preserve">EJ25 head gaskets</t>
  </si>
  <si>
    <t xml:space="preserve">Suzuki</t>
  </si>
  <si>
    <t xml:space="preserve">SJ Samurai / Vitara</t>
  </si>
  <si>
    <t xml:space="preserve">SJ / ET</t>
  </si>
  <si>
    <t xml:space="preserve">1.3, 1.6</t>
  </si>
  <si>
    <t xml:space="preserve">Very simple, never die</t>
  </si>
  <si>
    <t xml:space="preserve">Frame rust</t>
  </si>
  <si>
    <t xml:space="preserve">Daihatsu</t>
  </si>
  <si>
    <t xml:space="preserve">Rocky / Feroza / Charade</t>
  </si>
  <si>
    <t xml:space="preserve">F70-F80 / F300 / G100</t>
  </si>
  <si>
    <t xml:space="preserve">4x4 / Hatchback · Classic 1980s–90s</t>
  </si>
  <si>
    <t xml:space="preserve">2.8 D, 1.6</t>
  </si>
  <si>
    <t xml:space="preserve">Spartan, robust Japanese</t>
  </si>
  <si>
    <t xml:space="preserve">Peugeot</t>
  </si>
  <si>
    <t xml:space="preserve">205 / 309 / 405 / 306</t>
  </si>
  <si>
    <t xml:space="preserve">XUD7/XUD9 diesel, TU petrol</t>
  </si>
  <si>
    <t xml:space="preserve">XUD = the everlasting French diesel</t>
  </si>
  <si>
    <t xml:space="preserve">Electrics, minor rust</t>
  </si>
  <si>
    <t xml:space="preserve">505</t>
  </si>
  <si>
    <t xml:space="preserve">2.0, 2.5 diesel</t>
  </si>
  <si>
    <t xml:space="preserve">The archetypal African taxi</t>
  </si>
  <si>
    <t xml:space="preserve">Citroën</t>
  </si>
  <si>
    <t xml:space="preserve">BX / ZX / Xantia</t>
  </si>
  <si>
    <t xml:space="preserve">XUD diesel</t>
  </si>
  <si>
    <t xml:space="preserve">Robust PSA mechanics</t>
  </si>
  <si>
    <t xml:space="preserve">Hydraulics need upkeep (BX/Xantia)</t>
  </si>
  <si>
    <t xml:space="preserve">Renault</t>
  </si>
  <si>
    <t xml:space="preserve">4</t>
  </si>
  <si>
    <t xml:space="preserve">R4</t>
  </si>
  <si>
    <t xml:space="preserve">Hatchback · Classic 1980s–90s</t>
  </si>
  <si>
    <t xml:space="preserve">956/1108 cc</t>
  </si>
  <si>
    <t xml:space="preserve">Simple, repairable anywhere</t>
  </si>
  <si>
    <t xml:space="preserve">Chassis rust</t>
  </si>
  <si>
    <t xml:space="preserve">Express / 19 / Clio I diesel</t>
  </si>
  <si>
    <t xml:space="preserve">Van / Hatchback · Classic 1980s–90s</t>
  </si>
  <si>
    <t xml:space="preserve">F8Q, Energy</t>
  </si>
  <si>
    <t xml:space="preserve">F8Q diesel near indestructible</t>
  </si>
  <si>
    <t xml:space="preserve">Electrics</t>
  </si>
  <si>
    <t xml:space="preserve">Fiat</t>
  </si>
  <si>
    <t xml:space="preserve">Panda</t>
  </si>
  <si>
    <t xml:space="preserve">141</t>
  </si>
  <si>
    <t xml:space="preserve">Hatchback / 4x4 · Classic 1980s–90s</t>
  </si>
  <si>
    <t xml:space="preserve">FIRE 1000/1100, 4x4</t>
  </si>
  <si>
    <t xml:space="preserve">Repairable with a screwdriver</t>
  </si>
  <si>
    <t xml:space="preserve">Uno / Tipo diesel</t>
  </si>
  <si>
    <t xml:space="preserve">146 / 160</t>
  </si>
  <si>
    <t xml:space="preserve">FIRE, 1.7 D</t>
  </si>
  <si>
    <t xml:space="preserve">Simple and cheap</t>
  </si>
  <si>
    <t xml:space="preserve">Volkswagen</t>
  </si>
  <si>
    <t xml:space="preserve">Golf I/II / Jetta</t>
  </si>
  <si>
    <t xml:space="preserve">Mk1 / Mk2</t>
  </si>
  <si>
    <t xml:space="preserve">1.6D/TD, 1.6/1.8 petrol</t>
  </si>
  <si>
    <t xml:space="preserve">Golf II 1.6D/TD among the toughest</t>
  </si>
  <si>
    <t xml:space="preserve">Rust at battery tray</t>
  </si>
  <si>
    <t xml:space="preserve">Passat B3/B4 / Golf III / Polo</t>
  </si>
  <si>
    <t xml:space="preserve">B3-B4 / Mk3 / 6N</t>
  </si>
  <si>
    <t xml:space="preserve">Hatchback / Sedan / Estate · Classic 1980s–90s</t>
  </si>
  <si>
    <t xml:space="preserve">1.9 TDI (1Z/AHU)</t>
  </si>
  <si>
    <t xml:space="preserve">1Z/AHU: 500,000+ km easily</t>
  </si>
  <si>
    <t xml:space="preserve">Transporter T3 / T4</t>
  </si>
  <si>
    <t xml:space="preserve">T3 / T4</t>
  </si>
  <si>
    <t xml:space="preserve">Van / Camper · Classic 1980s–90s</t>
  </si>
  <si>
    <t xml:space="preserve">1.6TD, 2.5 TDI (T4)</t>
  </si>
  <si>
    <t xml:space="preserve">T4 2.5 TDI near eternal</t>
  </si>
  <si>
    <t xml:space="preserve">Rust (T3), high prices</t>
  </si>
  <si>
    <t xml:space="preserve">Audi</t>
  </si>
  <si>
    <t xml:space="preserve">80</t>
  </si>
  <si>
    <t xml:space="preserve">B3 / B4</t>
  </si>
  <si>
    <t xml:space="preserve">1.9 TDI, 2.0, 2.3 5-cyl</t>
  </si>
  <si>
    <t xml:space="preserve">Galvanised body, minimal rust</t>
  </si>
  <si>
    <t xml:space="preserve">100</t>
  </si>
  <si>
    <t xml:space="preserve">C3 / C4</t>
  </si>
  <si>
    <t xml:space="preserve">2.5 TDI, 2.3 5-cyl</t>
  </si>
  <si>
    <t xml:space="preserve">Galvanised, very robust 5-cyl TDI</t>
  </si>
  <si>
    <t xml:space="preserve">C4 electronics</t>
  </si>
  <si>
    <t xml:space="preserve">BMW</t>
  </si>
  <si>
    <t xml:space="preserve">3 Series</t>
  </si>
  <si>
    <t xml:space="preserve">E30</t>
  </si>
  <si>
    <t xml:space="preserve">Sedan / Touring / Cabrio · Classic 1980s–90s</t>
  </si>
  <si>
    <t xml:space="preserve">M20 six-cylinder, M40</t>
  </si>
  <si>
    <t xml:space="preserve">Simple mechanics, endless parts</t>
  </si>
  <si>
    <t xml:space="preserve">M20 timing belt, rust</t>
  </si>
  <si>
    <t xml:space="preserve">5 Series</t>
  </si>
  <si>
    <t xml:space="preserve">E34</t>
  </si>
  <si>
    <t xml:space="preserve">Sedan / Touring · Classic 1980s–90s</t>
  </si>
  <si>
    <t xml:space="preserve">M30 (530i/535i), M50</t>
  </si>
  <si>
    <t xml:space="preserve">M30 one of BMW's best sixes</t>
  </si>
  <si>
    <t xml:space="preserve">Cooling system</t>
  </si>
  <si>
    <t xml:space="preserve">E36</t>
  </si>
  <si>
    <t xml:space="preserve">Sedan / Coupé / Touring · Classic 1980s–90s</t>
  </si>
  <si>
    <t xml:space="preserve">M50/M52, M43</t>
  </si>
  <si>
    <t xml:space="preserve">Robust if maintained</t>
  </si>
  <si>
    <t xml:space="preserve">Cooling, rear shock mounts</t>
  </si>
  <si>
    <t xml:space="preserve">Saab</t>
  </si>
  <si>
    <t xml:space="preserve">900 Classic / 9000</t>
  </si>
  <si>
    <t xml:space="preserve">900 / 9000</t>
  </si>
  <si>
    <t xml:space="preserve">B201/B202, B234</t>
  </si>
  <si>
    <t xml:space="preserve">Very tough engines</t>
  </si>
  <si>
    <t xml:space="preserve">Clutch, gearbox</t>
  </si>
  <si>
    <t xml:space="preserve">Opel</t>
  </si>
  <si>
    <t xml:space="preserve">Kadett E / Vectra A / Omega A</t>
  </si>
  <si>
    <t xml:space="preserve">C20NE, 1.7 D Isuzu</t>
  </si>
  <si>
    <t xml:space="preserve">C20NE very robust</t>
  </si>
  <si>
    <t xml:space="preserve">Ford</t>
  </si>
  <si>
    <t xml:space="preserve">Sierra / Escort / Transit</t>
  </si>
  <si>
    <t xml:space="preserve">Sedan / Van · Classic 1980s–90s</t>
  </si>
  <si>
    <t xml:space="preserve">Pinto 2.0, Endura D</t>
  </si>
  <si>
    <t xml:space="preserve">Land Rover</t>
  </si>
  <si>
    <t xml:space="preserve">Defender / Discovery I</t>
  </si>
  <si>
    <t xml:space="preserve">90/110 / Series I</t>
  </si>
  <si>
    <t xml:space="preserve">200Tdi, 300Tdi</t>
  </si>
  <si>
    <t xml:space="preserve">Tdi near indestructible, fixable anywhere</t>
  </si>
  <si>
    <t xml:space="preserve">Chassis, oil leaks</t>
  </si>
  <si>
    <t xml:space="preserve">Lada</t>
  </si>
  <si>
    <t xml:space="preserve">Niva</t>
  </si>
  <si>
    <t xml:space="preserve">2121</t>
  </si>
  <si>
    <t xml:space="preserve">1.6/1.7</t>
  </si>
  <si>
    <t xml:space="preserve">Not reliable, but repairable with anything</t>
  </si>
  <si>
    <t xml:space="preserve">Rust, trim quality</t>
  </si>
  <si>
    <t xml:space="preserve">Porsche</t>
  </si>
  <si>
    <t xml:space="preserve">911 Carrera 3.2 / 964</t>
  </si>
  <si>
    <t xml:space="preserve">G-model / 964</t>
  </si>
  <si>
    <t xml:space="preserve">3.2 / 3.6</t>
  </si>
  <si>
    <t xml:space="preserve">3.2 boxer very robust</t>
  </si>
  <si>
    <t xml:space="preserve">Price, oil leaks (964)</t>
  </si>
  <si>
    <t xml:space="preserve">944 / 928</t>
  </si>
  <si>
    <t xml:space="preserve">2.5/2.7/3.0, V8</t>
  </si>
  <si>
    <t xml:space="preserve">Very solid</t>
  </si>
  <si>
    <t xml:space="preserve">Timing belts, running costs</t>
  </si>
  <si>
    <t xml:space="preserve">Yaris I / II</t>
  </si>
  <si>
    <t xml:space="preserve">XP10 / XP90</t>
  </si>
  <si>
    <t xml:space="preserve">Hatchback · Youngtimer 1997–2011</t>
  </si>
  <si>
    <t xml:space="preserve">1.0 / 1.3 VVT-i</t>
  </si>
  <si>
    <t xml:space="preserve">Tiny engines that run forever, minimal running costs</t>
  </si>
  <si>
    <t xml:space="preserve">Clutch on early 1.0, rust rare</t>
  </si>
  <si>
    <t xml:space="preserve">Aygo / Citroën C1 / Peugeot 107</t>
  </si>
  <si>
    <t xml:space="preserve">AB10</t>
  </si>
  <si>
    <t xml:space="preserve">1.0 (Toyota 1KR)</t>
  </si>
  <si>
    <t xml:space="preserve">Toyota 1KR three-cylinder: simple and very durable</t>
  </si>
  <si>
    <t xml:space="preserve">Clutch, rear window seals</t>
  </si>
  <si>
    <t xml:space="preserve">Swift</t>
  </si>
  <si>
    <t xml:space="preserve">MZ/EZ</t>
  </si>
  <si>
    <t xml:space="preserve">1.3 / 1.5 / 1.6 Sport</t>
  </si>
  <si>
    <t xml:space="preserve">Simple chain-driven engines, light and tough</t>
  </si>
  <si>
    <t xml:space="preserve">Rust on rear arches</t>
  </si>
  <si>
    <t xml:space="preserve">Ignis / Wagon R+</t>
  </si>
  <si>
    <t xml:space="preserve">FH / MM</t>
  </si>
  <si>
    <t xml:space="preserve">1.0 / 1.3 / 1.5</t>
  </si>
  <si>
    <t xml:space="preserve">Basic, light and nearly unbreakable</t>
  </si>
  <si>
    <t xml:space="preserve">Jazz I / II</t>
  </si>
  <si>
    <t xml:space="preserve">GD / GE</t>
  </si>
  <si>
    <t xml:space="preserve">1.2 / 1.4 i-DSI</t>
  </si>
  <si>
    <t xml:space="preserve">Bulletproof i-DSI engines, magic seats, huge space</t>
  </si>
  <si>
    <t xml:space="preserve">CVT gearbox on early cars, check fluid changes</t>
  </si>
  <si>
    <t xml:space="preserve">Sirion / Cuore</t>
  </si>
  <si>
    <t xml:space="preserve">M1-M3 / L7</t>
  </si>
  <si>
    <t xml:space="preserve">1.0 / 1.3</t>
  </si>
  <si>
    <t xml:space="preserve">Toyota-group engines, very cheap to run</t>
  </si>
  <si>
    <t xml:space="preserve">Rust, rare parts</t>
  </si>
  <si>
    <t xml:space="preserve">Panda (169)</t>
  </si>
  <si>
    <t xml:space="preserve">169</t>
  </si>
  <si>
    <t xml:space="preserve">Hatchback / 4x4 · Youngtimer 1997–2011</t>
  </si>
  <si>
    <t xml:space="preserve">1.2 Fire, 1.1 Fire, 4x4</t>
  </si>
  <si>
    <t xml:space="preserve">FIRE engine: cheap, simple, everywhere in Italy</t>
  </si>
  <si>
    <t xml:space="preserve">Rear suspension, electrics</t>
  </si>
  <si>
    <t xml:space="preserve">Škoda</t>
  </si>
  <si>
    <t xml:space="preserve">Fabia I</t>
  </si>
  <si>
    <t xml:space="preserve">6Y</t>
  </si>
  <si>
    <t xml:space="preserve">Hatchback / Estate · Youngtimer 1997–2011</t>
  </si>
  <si>
    <t xml:space="preserve">1.4 MPI, 1.9 SDI / TDI</t>
  </si>
  <si>
    <t xml:space="preserve">1.9 SDI/TDI: VW diesels that run 500,000+ km</t>
  </si>
  <si>
    <t xml:space="preserve">1.2 HTP timing chain, rust on doors</t>
  </si>
  <si>
    <t xml:space="preserve">Hyundai</t>
  </si>
  <si>
    <t xml:space="preserve">Getz / Kia Picanto</t>
  </si>
  <si>
    <t xml:space="preserve">TB / SA</t>
  </si>
  <si>
    <t xml:space="preserve">1.1 / 1.3 / 1.4</t>
  </si>
  <si>
    <t xml:space="preserve">Simple Korean engines, low running costs</t>
  </si>
  <si>
    <t xml:space="preserve">Rust on sills, clutch</t>
  </si>
  <si>
    <t xml:space="preserve">2</t>
  </si>
  <si>
    <t xml:space="preserve">DY</t>
  </si>
  <si>
    <t xml:space="preserve">1.25 / 1.4 / 1.6</t>
  </si>
  <si>
    <t xml:space="preserve">Ford-Mazda petrol engines, solid build</t>
  </si>
  <si>
    <t xml:space="preserve">Dacia</t>
  </si>
  <si>
    <t xml:space="preserve">Logan / Sandero I</t>
  </si>
  <si>
    <t xml:space="preserve">L90 / B90</t>
  </si>
  <si>
    <t xml:space="preserve">Sedan / Hatchback · Youngtimer 1997–2011</t>
  </si>
  <si>
    <t xml:space="preserve">1.4 / 1.6 MPI, 1.5 dCi</t>
  </si>
  <si>
    <t xml:space="preserve">Old Renault mechanics: crude, cheap, unkillable</t>
  </si>
  <si>
    <t xml:space="preserve">Rust under the body on older cars</t>
  </si>
  <si>
    <t xml:space="preserve">Octavia I</t>
  </si>
  <si>
    <t xml:space="preserve">1U</t>
  </si>
  <si>
    <t xml:space="preserve">1.9 TDI (ALH/ASV/AXR), 1.6</t>
  </si>
  <si>
    <t xml:space="preserve">Taxi favourite: 1.9 TDI past 1,000,000 km</t>
  </si>
  <si>
    <t xml:space="preserve">Rust on tailgate, dual-mass flywheel</t>
  </si>
  <si>
    <t xml:space="preserve">Golf IV / Bora</t>
  </si>
  <si>
    <t xml:space="preserve">1J</t>
  </si>
  <si>
    <t xml:space="preserve">Hatchback / Sedan / Estate · Youngtimer 1997–2011</t>
  </si>
  <si>
    <t xml:space="preserve">1.9 TDI (ALH/ASZ/AXR), 1.6</t>
  </si>
  <si>
    <t xml:space="preserve">1.9 TDI ALH: among the best diesels ever made</t>
  </si>
  <si>
    <t xml:space="preserve">Window regulators, electrics, coolant sensor</t>
  </si>
  <si>
    <t xml:space="preserve">Passat B5 / Audi A4 B5-B6</t>
  </si>
  <si>
    <t xml:space="preserve">3B / 8D / 8E</t>
  </si>
  <si>
    <t xml:space="preserve">Sedan / Estate · Youngtimer 1997–2011</t>
  </si>
  <si>
    <t xml:space="preserve">1.9 TDI (AFN/AVF/AWX)</t>
  </si>
  <si>
    <t xml:space="preserve">1.9 TDI Pumpe-Düse: 500,000+ km common</t>
  </si>
  <si>
    <t xml:space="preserve">Front suspension arms, V6 TDI to avoid</t>
  </si>
  <si>
    <t xml:space="preserve">Corolla E120</t>
  </si>
  <si>
    <t xml:space="preserve">E120</t>
  </si>
  <si>
    <t xml:space="preserve">1.4 / 1.6 VVT-i</t>
  </si>
  <si>
    <t xml:space="preserve">Quiet, simple, endless km</t>
  </si>
  <si>
    <t xml:space="preserve">1.4 D-4D injectors, oil use on some 1.6</t>
  </si>
  <si>
    <t xml:space="preserve">Avensis T22 / T25</t>
  </si>
  <si>
    <t xml:space="preserve">T22 / T25</t>
  </si>
  <si>
    <t xml:space="preserve">1.8 VVT-i, 2.0 petrol</t>
  </si>
  <si>
    <t xml:space="preserve">Taxi-grade saloon, very low failure rates</t>
  </si>
  <si>
    <t xml:space="preserve">2.0/2.2 D-4D (T25) head gasket</t>
  </si>
  <si>
    <t xml:space="preserve">Prius II</t>
  </si>
  <si>
    <t xml:space="preserve">XW20</t>
  </si>
  <si>
    <t xml:space="preserve">1.5 Hybrid</t>
  </si>
  <si>
    <t xml:space="preserve">Taxis with 500,000-1,000,000 km on original hybrid system</t>
  </si>
  <si>
    <t xml:space="preserve">Hybrid battery age, inverter pump</t>
  </si>
  <si>
    <t xml:space="preserve">Civic VII / Accord VII</t>
  </si>
  <si>
    <t xml:space="preserve">EU-EP / CL-CM</t>
  </si>
  <si>
    <t xml:space="preserve">1.4 / 1.6 / 2.0 / 2.4 i-VTEC</t>
  </si>
  <si>
    <t xml:space="preserve">i-VTEC petrols are near indestructible</t>
  </si>
  <si>
    <t xml:space="preserve">Oil consumption on some 2.4, 2.2 i-CTDi chain</t>
  </si>
  <si>
    <t xml:space="preserve">3 / 6</t>
  </si>
  <si>
    <t xml:space="preserve">BK / GG</t>
  </si>
  <si>
    <t xml:space="preserve">1.6 / 2.0 petrol</t>
  </si>
  <si>
    <t xml:space="preserve">MZR petrol engines very robust</t>
  </si>
  <si>
    <t xml:space="preserve">Rust on rear arches, 2.0 MZR-CD diesel</t>
  </si>
  <si>
    <t xml:space="preserve">406</t>
  </si>
  <si>
    <t xml:space="preserve">8B/8E</t>
  </si>
  <si>
    <t xml:space="preserve">Sedan / Estate / Coupé · Youngtimer 1997–2011</t>
  </si>
  <si>
    <t xml:space="preserve">2.0 HDi, 1.8 / 2.0 petrol</t>
  </si>
  <si>
    <t xml:space="preserve">2.0 HDi: the classic French taxi engine</t>
  </si>
  <si>
    <t xml:space="preserve">Rear axle bearings, electrics</t>
  </si>
  <si>
    <t xml:space="preserve">E-Class W210</t>
  </si>
  <si>
    <t xml:space="preserve">W210</t>
  </si>
  <si>
    <t xml:space="preserve">E 290 TD, E 300 TD (OM606), E 240/280</t>
  </si>
  <si>
    <t xml:space="preserve">OM606 six-cylinder diesel: a legend</t>
  </si>
  <si>
    <t xml:space="preserve">Severe rust (wings, doors, boot), first-gen CDI</t>
  </si>
  <si>
    <t xml:space="preserve">3 Series E46 / 5 Series E39</t>
  </si>
  <si>
    <t xml:space="preserve">E46 / E39</t>
  </si>
  <si>
    <t xml:space="preserve">Sedan / Touring / Coupé · Youngtimer 1997–2011</t>
  </si>
  <si>
    <t xml:space="preserve">M54 six-cylinder petrol (320i-330i, 520i-530i)</t>
  </si>
  <si>
    <t xml:space="preserve">M54 straight-six: smooth and very durable</t>
  </si>
  <si>
    <t xml:space="preserve">Cooling system, rear subframe (E46), oil leaks</t>
  </si>
  <si>
    <t xml:space="preserve">V70 II / S60</t>
  </si>
  <si>
    <t xml:space="preserve">P2</t>
  </si>
  <si>
    <t xml:space="preserve">2.4 / 2.4T five-cylinder petrol, D5</t>
  </si>
  <si>
    <t xml:space="preserve">Five-cylinder engines routinely pass 400,000 km</t>
  </si>
  <si>
    <t xml:space="preserve">Automatic gearbox (AW55), angle gear on AWD</t>
  </si>
  <si>
    <t xml:space="preserve">LS430 / IS200</t>
  </si>
  <si>
    <t xml:space="preserve">UCF30 / XE10</t>
  </si>
  <si>
    <t xml:space="preserve">Sedan · Youngtimer 1997–2011</t>
  </si>
  <si>
    <t xml:space="preserve">4.3 V8 (3UZ), 2.0 straight-six</t>
  </si>
  <si>
    <t xml:space="preserve">Toyota luxury engineering, extremely low failure rates</t>
  </si>
  <si>
    <t xml:space="preserve">Air suspension (LS430), parts prices</t>
  </si>
  <si>
    <t xml:space="preserve">Land Cruiser J100</t>
  </si>
  <si>
    <t xml:space="preserve">J100</t>
  </si>
  <si>
    <t xml:space="preserve">4x4 · Youngtimer 1997–2011</t>
  </si>
  <si>
    <t xml:space="preserve">4.2 TD (1HD-FTE), 4.7 V8</t>
  </si>
  <si>
    <t xml:space="preserve">1HD-FTE: legendary straight-six diesel</t>
  </si>
  <si>
    <t xml:space="preserve">Rust on frame, IFS front end</t>
  </si>
  <si>
    <t xml:space="preserve">Hilux N140-N150</t>
  </si>
  <si>
    <t xml:space="preserve">N140-N170</t>
  </si>
  <si>
    <t xml:space="preserve">Pick-up · Youngtimer 1997–2011</t>
  </si>
  <si>
    <t xml:space="preserve">2.4 D, 2.5 / 3.0 D-4D</t>
  </si>
  <si>
    <t xml:space="preserve">Top Gear could not kill one</t>
  </si>
  <si>
    <t xml:space="preserve">Frame rust, 2.5 D-4D injectors on high km</t>
  </si>
  <si>
    <t xml:space="preserve">RAV4 II</t>
  </si>
  <si>
    <t xml:space="preserve">XA20</t>
  </si>
  <si>
    <t xml:space="preserve">SUV · Youngtimer 1997–2011</t>
  </si>
  <si>
    <t xml:space="preserve">2.0 VVT-i</t>
  </si>
  <si>
    <t xml:space="preserve">Simple petrol SUV, very reliable</t>
  </si>
  <si>
    <t xml:space="preserve">Rear differential, 2.0 D-4D</t>
  </si>
  <si>
    <t xml:space="preserve">Jimny</t>
  </si>
  <si>
    <t xml:space="preserve">FJ / SN</t>
  </si>
  <si>
    <t xml:space="preserve">1.3</t>
  </si>
  <si>
    <t xml:space="preserve">Tiny, simple real off-roader that keeps going</t>
  </si>
  <si>
    <t xml:space="preserve">Frame rust, rear axle</t>
  </si>
  <si>
    <t xml:space="preserve">Grand Vitara</t>
  </si>
  <si>
    <t xml:space="preserve">FT / JT</t>
  </si>
  <si>
    <t xml:space="preserve">SUV / 4x4 · Youngtimer 1997–2011</t>
  </si>
  <si>
    <t xml:space="preserve">1.6 / 2.0 / 2.4 petrol</t>
  </si>
  <si>
    <t xml:space="preserve">Body-on-frame (I), robust petrol engines</t>
  </si>
  <si>
    <t xml:space="preserve">Rust, 1.9 DDiS diesel</t>
  </si>
  <si>
    <t xml:space="preserve">CR-V II</t>
  </si>
  <si>
    <t xml:space="preserve">RD4-RD9</t>
  </si>
  <si>
    <t xml:space="preserve">2.0 i-VTEC</t>
  </si>
  <si>
    <t xml:space="preserve">K20 engine: one of Honda's best</t>
  </si>
  <si>
    <t xml:space="preserve">Rear differential fluid, A/C compressor</t>
  </si>
  <si>
    <t xml:space="preserve">Forester SF / SG</t>
  </si>
  <si>
    <t xml:space="preserve">SF / SG</t>
  </si>
  <si>
    <t xml:space="preserve">SUV / Estate · Youngtimer 1997–2011</t>
  </si>
  <si>
    <t xml:space="preserve">2.0 naturally aspirated (EJ20)</t>
  </si>
  <si>
    <t xml:space="preserve">Symmetrical AWD and naturally aspirated boxer</t>
  </si>
  <si>
    <t xml:space="preserve">Head gaskets on EJ25, rust on rear arches</t>
  </si>
  <si>
    <t xml:space="preserve">L200 III</t>
  </si>
  <si>
    <t xml:space="preserve">K60-K70</t>
  </si>
  <si>
    <t xml:space="preserve">2.5 TD (4D56)</t>
  </si>
  <si>
    <t xml:space="preserve">4D56: simple mechanical diesel, runs forever</t>
  </si>
  <si>
    <t xml:space="preserve">Frame rust, timing belt intervals</t>
  </si>
  <si>
    <t xml:space="preserve">Berlingo / Peugeot Partner I</t>
  </si>
  <si>
    <t xml:space="preserve">M49 / M59</t>
  </si>
  <si>
    <t xml:space="preserve">Van / MPV · Youngtimer 1997–2011</t>
  </si>
  <si>
    <t xml:space="preserve">1.9 D (DW8), 2.0 HDi, 1.4 petrol</t>
  </si>
  <si>
    <t xml:space="preserve">1.9 D DW8: mechanical diesel, practically unbreakable</t>
  </si>
  <si>
    <t xml:space="preserve">Rust on sills, rear axle bearings</t>
  </si>
  <si>
    <t xml:space="preserve">Kangoo I</t>
  </si>
  <si>
    <t xml:space="preserve">KC</t>
  </si>
  <si>
    <t xml:space="preserve">1.5 dCi (K9K), 1.9 D, 1.2 / 1.6 petrol</t>
  </si>
  <si>
    <t xml:space="preserve">1.5 dCi: one of Europe's most widespread diesels</t>
  </si>
  <si>
    <t xml:space="preserve">Rust, electrics, dCi injectors on high km</t>
  </si>
  <si>
    <t xml:space="preserve">Doblò I</t>
  </si>
  <si>
    <t xml:space="preserve">119/223</t>
  </si>
  <si>
    <t xml:space="preserve">1.9 JTD / Multijet, 1.4 petrol</t>
  </si>
  <si>
    <t xml:space="preserve">1.9 JTD: robust Fiat diesel, cheap parts in Italy</t>
  </si>
  <si>
    <t xml:space="preserve">Rust, front suspension</t>
  </si>
  <si>
    <t xml:space="preserve">Legend</t>
  </si>
  <si>
    <t xml:space="preserve">Yellow cells</t>
  </si>
  <si>
    <t xml:space="preserve">Your inputs: buy price, resale price, costs, notes. Margin = Resale − Buy − Costs.</t>
  </si>
  <si>
    <t xml:space="preserve">Example</t>
  </si>
  <si>
    <t xml:space="preserve">e.g. Buy 4,500 · Resale 7,500 · Costs 1,200 → Margin € 1,800</t>
  </si>
  <si>
    <t xml:space="preserve">Green / Amber / Red</t>
  </si>
  <si>
    <t xml:space="preserve">Fully eligible / only older production years eligible / not yet eligible</t>
  </si>
  <si>
    <t xml:space="preserve">Thresholds</t>
  </si>
  <si>
    <t xml:space="preserve">Change ages or reference year in the Rules sheet</t>
  </si>
  <si>
    <t xml:space="preserve">Historic Registration Rules</t>
  </si>
  <si>
    <t xml:space="preserve">Age thresholds used by the Models sheet. Edit the yellow cells to change every calculation.</t>
  </si>
  <si>
    <t xml:space="preserve">Scheme</t>
  </si>
  <si>
    <t xml:space="preserve">Min. age (years)</t>
  </si>
  <si>
    <t xml:space="preserve">FIVA / EU standard (30 y)</t>
  </si>
  <si>
    <t xml:space="preserve">FIVA definition of historic vehicle: 30+ years, preserved in historically correct condition, not used as daily transport.</t>
  </si>
  <si>
    <t xml:space="preserve">Italy - ASI CRS (20 y)</t>
  </si>
  <si>
    <t xml:space="preserve">Certificato di Rilevanza Storica from ASI: available from 20 years for models of historic/collector interest. Veicolo d'epoca status (ASI/FMI) and full road-tax exemption rules vary by region.</t>
  </si>
  <si>
    <t xml:space="preserve">France - Carte grise collection</t>
  </si>
  <si>
    <t xml:space="preserve">Carte grise 'véhicule de collection': 30 years, FFVE certificate required.</t>
  </si>
  <si>
    <t xml:space="preserve">Czech Rep. - Historic plate (H)</t>
  </si>
  <si>
    <t xml:space="preserve">Historické vozidlo: 30 years + technical inspection by a historic vehicle commission (STK).</t>
  </si>
  <si>
    <t xml:space="preserve">Germany - H-Kennzeichen</t>
  </si>
  <si>
    <t xml:space="preserve">H plate: 30 years + §23 StVZO appraisal (largely original, good condition).</t>
  </si>
  <si>
    <t xml:space="preserve">Reference year</t>
  </si>
  <si>
    <t xml:space="preserve">Updates automatically. Replace with a fixed year (blue input) to plan ahead.</t>
  </si>
  <si>
    <t xml:space="preserve">Rules summarised from FIVA, ASI, FFVE, Czech and German regulations; always verify with the local registry/club before buying.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</si>
</sst>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€ &quot;#,##0;&quot;-€ &quot;#,##0;\-"/>
    <numFmt numFmtId="167" formatCode="&quot;€ &quot;#,##0;[RED]&quot;-€ &quot;#,##0;\-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7A5C00"/>
        <bgColor rgb="FF9C57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odels" displayName="Models" ref="A5:V90" headerRowCount="1" totalsRowCount="0" totalsRowShown="0">
  <autoFilter ref="A5:V90"/>
  <tableColumns count="22">
    <tableColumn id="1" name="#"/>
    <tableColumn id="2" name="Make"/>
    <tableColumn id="3" name="Model"/>
    <tableColumn id="4" name="Chassis"/>
    <tableColumn id="5" name="Type · Segment"/>
    <tableColumn id="6" name="Prod. from"/>
    <tableColumn id="7" name="Prod. to"/>
    <tableColumn id="8" name="Recommended engines"/>
    <tableColumn id="9" name="Why it's bulletproof"/>
    <tableColumn id="10" name="Watch out for"/>
    <tableColumn id="11" name="Reliability (1-5)"/>
    <tableColumn id="12" name="FIVA/EU 30y: first eligible year"/>
    <tableColumn id="13" name="FIVA/EU 30y: all units eligible"/>
    <tableColumn id="14" name="Italy ASI CRS 20y: first eligible year"/>
    <tableColumn id="15" name="Eligible up to model year (30y)"/>
    <tableColumn id="16" name="FIVA status today"/>
    <tableColumn id="17" name="Italy CRS status today"/>
    <tableColumn id="18" name="Buy price DE/CZ (€)"/>
    <tableColumn id="19" name="Resale price IT (€)"/>
    <tableColumn id="20" name="Est. costs (€)"/>
    <tableColumn id="21" name="Est. margin (€)"/>
    <tableColumn id="22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7" min="6" style="0" width="9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5" min="12" style="0" width="13"/>
    <col collapsed="false" customWidth="true" hidden="false" outlineLevel="0" max="17" min="16" style="0" width="16"/>
    <col collapsed="false" customWidth="true" hidden="false" outlineLevel="0" max="19" min="18" style="0" width="14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"Reference year: "&amp;Rules!B11&amp;"   ·   Models: "&amp;COUNT(A6:A200)&amp;"   ·   Fully FIVA-eligible now: "&amp;COUNTIF(P6:P200,"Fully eligible")</f>
        <v>Reference year: 2026   ·   Models: 85   ·   Fully FIVA-eligible now: 30</v>
      </c>
    </row>
    <row r="5" customFormat="false" ht="42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 customFormat="false" ht="30" hidden="false" customHeight="true" outlineLevel="0" collapsed="false">
      <c r="A6" s="6" t="n">
        <v>1</v>
      </c>
      <c r="B6" s="7" t="s">
        <v>24</v>
      </c>
      <c r="C6" s="7" t="s">
        <v>25</v>
      </c>
      <c r="D6" s="8" t="s">
        <v>26</v>
      </c>
      <c r="E6" s="8" t="s">
        <v>27</v>
      </c>
      <c r="F6" s="6" t="n">
        <v>1982</v>
      </c>
      <c r="G6" s="6" t="n">
        <v>1993</v>
      </c>
      <c r="H6" s="9" t="s">
        <v>28</v>
      </c>
      <c r="I6" s="9" t="s">
        <v>29</v>
      </c>
      <c r="J6" s="9" t="s">
        <v>30</v>
      </c>
      <c r="K6" s="6" t="n">
        <v>5</v>
      </c>
      <c r="L6" s="10" t="n">
        <f aca="false">F6+Rules!$B$5</f>
        <v>2012</v>
      </c>
      <c r="M6" s="10" t="n">
        <f aca="false">G6+Rules!$B$5</f>
        <v>2023</v>
      </c>
      <c r="N6" s="10" t="n">
        <f aca="false">F6+Rules!$B$6</f>
        <v>2002</v>
      </c>
      <c r="O6" s="10" t="n">
        <f aca="false">MIN(G6,Rules!$B$11-Rules!$B$5)</f>
        <v>1993</v>
      </c>
      <c r="P6" s="6" t="str">
        <f aca="false">IF(Rules!$B$11&gt;=M6,"Fully eligible",IF(Rules!$B$11&gt;=L6,"Partially eligible","Not yet"))</f>
        <v>Fully eligible</v>
      </c>
      <c r="Q6" s="6" t="str">
        <f aca="false">IF(Rules!$B$11&gt;=G6+Rules!$B$6,"Fully eligible",IF(Rules!$B$11&gt;=N6,"Partially eligible","Not yet"))</f>
        <v>Fully eligible</v>
      </c>
      <c r="R6" s="11"/>
      <c r="S6" s="11"/>
      <c r="T6" s="11"/>
      <c r="U6" s="12" t="str">
        <f aca="false">IF(OR(R6="",S6=""),"",S6-R6-T6)</f>
        <v/>
      </c>
      <c r="V6" s="13"/>
    </row>
    <row r="7" customFormat="false" ht="30" hidden="false" customHeight="true" outlineLevel="0" collapsed="false">
      <c r="A7" s="6" t="n">
        <v>2</v>
      </c>
      <c r="B7" s="7" t="s">
        <v>24</v>
      </c>
      <c r="C7" s="7" t="s">
        <v>31</v>
      </c>
      <c r="D7" s="8" t="s">
        <v>32</v>
      </c>
      <c r="E7" s="8" t="s">
        <v>33</v>
      </c>
      <c r="F7" s="6" t="n">
        <v>1984</v>
      </c>
      <c r="G7" s="6" t="n">
        <v>1996</v>
      </c>
      <c r="H7" s="9" t="s">
        <v>34</v>
      </c>
      <c r="I7" s="9" t="s">
        <v>35</v>
      </c>
      <c r="J7" s="9" t="s">
        <v>36</v>
      </c>
      <c r="K7" s="6" t="n">
        <v>5</v>
      </c>
      <c r="L7" s="10" t="n">
        <f aca="false">F7+Rules!$B$5</f>
        <v>2014</v>
      </c>
      <c r="M7" s="10" t="n">
        <f aca="false">G7+Rules!$B$5</f>
        <v>2026</v>
      </c>
      <c r="N7" s="10" t="n">
        <f aca="false">F7+Rules!$B$6</f>
        <v>2004</v>
      </c>
      <c r="O7" s="10" t="n">
        <f aca="false">MIN(G7,Rules!$B$11-Rules!$B$5)</f>
        <v>1996</v>
      </c>
      <c r="P7" s="6" t="str">
        <f aca="false">IF(Rules!$B$11&gt;=M7,"Fully eligible",IF(Rules!$B$11&gt;=L7,"Partially eligible","Not yet"))</f>
        <v>Fully eligible</v>
      </c>
      <c r="Q7" s="6" t="str">
        <f aca="false">IF(Rules!$B$11&gt;=G7+Rules!$B$6,"Fully eligible",IF(Rules!$B$11&gt;=N7,"Partially eligible","Not yet"))</f>
        <v>Fully eligible</v>
      </c>
      <c r="R7" s="11"/>
      <c r="S7" s="11"/>
      <c r="T7" s="11"/>
      <c r="U7" s="12" t="str">
        <f aca="false">IF(OR(R7="",S7=""),"",S7-R7-T7)</f>
        <v/>
      </c>
      <c r="V7" s="13"/>
    </row>
    <row r="8" customFormat="false" ht="30" hidden="false" customHeight="true" outlineLevel="0" collapsed="false">
      <c r="A8" s="6" t="n">
        <v>3</v>
      </c>
      <c r="B8" s="7" t="s">
        <v>24</v>
      </c>
      <c r="C8" s="7" t="s">
        <v>37</v>
      </c>
      <c r="D8" s="8" t="s">
        <v>38</v>
      </c>
      <c r="E8" s="8" t="s">
        <v>39</v>
      </c>
      <c r="F8" s="6" t="n">
        <v>1976</v>
      </c>
      <c r="G8" s="6" t="n">
        <v>1985</v>
      </c>
      <c r="H8" s="9" t="s">
        <v>40</v>
      </c>
      <c r="I8" s="9" t="s">
        <v>41</v>
      </c>
      <c r="J8" s="9" t="s">
        <v>42</v>
      </c>
      <c r="K8" s="6" t="n">
        <v>5</v>
      </c>
      <c r="L8" s="10" t="n">
        <f aca="false">F8+Rules!$B$5</f>
        <v>2006</v>
      </c>
      <c r="M8" s="10" t="n">
        <f aca="false">G8+Rules!$B$5</f>
        <v>2015</v>
      </c>
      <c r="N8" s="10" t="n">
        <f aca="false">F8+Rules!$B$6</f>
        <v>1996</v>
      </c>
      <c r="O8" s="10" t="n">
        <f aca="false">MIN(G8,Rules!$B$11-Rules!$B$5)</f>
        <v>1985</v>
      </c>
      <c r="P8" s="6" t="str">
        <f aca="false">IF(Rules!$B$11&gt;=M8,"Fully eligible",IF(Rules!$B$11&gt;=L8,"Partially eligible","Not yet"))</f>
        <v>Fully eligible</v>
      </c>
      <c r="Q8" s="6" t="str">
        <f aca="false">IF(Rules!$B$11&gt;=G8+Rules!$B$6,"Fully eligible",IF(Rules!$B$11&gt;=N8,"Partially eligible","Not yet"))</f>
        <v>Fully eligible</v>
      </c>
      <c r="R8" s="11"/>
      <c r="S8" s="11"/>
      <c r="T8" s="11"/>
      <c r="U8" s="12" t="str">
        <f aca="false">IF(OR(R8="",S8=""),"",S8-R8-T8)</f>
        <v/>
      </c>
      <c r="V8" s="13"/>
    </row>
    <row r="9" customFormat="false" ht="30" hidden="false" customHeight="true" outlineLevel="0" collapsed="false">
      <c r="A9" s="6" t="n">
        <v>4</v>
      </c>
      <c r="B9" s="7" t="s">
        <v>24</v>
      </c>
      <c r="C9" s="7" t="s">
        <v>43</v>
      </c>
      <c r="D9" s="8" t="s">
        <v>44</v>
      </c>
      <c r="E9" s="8" t="s">
        <v>45</v>
      </c>
      <c r="F9" s="6" t="n">
        <v>1979</v>
      </c>
      <c r="G9" s="6" t="n">
        <v>1991</v>
      </c>
      <c r="H9" s="9" t="s">
        <v>46</v>
      </c>
      <c r="I9" s="9" t="s">
        <v>47</v>
      </c>
      <c r="J9" s="9" t="s">
        <v>48</v>
      </c>
      <c r="K9" s="6" t="n">
        <v>4</v>
      </c>
      <c r="L9" s="10" t="n">
        <f aca="false">F9+Rules!$B$5</f>
        <v>2009</v>
      </c>
      <c r="M9" s="10" t="n">
        <f aca="false">G9+Rules!$B$5</f>
        <v>2021</v>
      </c>
      <c r="N9" s="10" t="n">
        <f aca="false">F9+Rules!$B$6</f>
        <v>1999</v>
      </c>
      <c r="O9" s="10" t="n">
        <f aca="false">MIN(G9,Rules!$B$11-Rules!$B$5)</f>
        <v>1991</v>
      </c>
      <c r="P9" s="6" t="str">
        <f aca="false">IF(Rules!$B$11&gt;=M9,"Fully eligible",IF(Rules!$B$11&gt;=L9,"Partially eligible","Not yet"))</f>
        <v>Fully eligible</v>
      </c>
      <c r="Q9" s="6" t="str">
        <f aca="false">IF(Rules!$B$11&gt;=G9+Rules!$B$6,"Fully eligible",IF(Rules!$B$11&gt;=N9,"Partially eligible","Not yet"))</f>
        <v>Fully eligible</v>
      </c>
      <c r="R9" s="11"/>
      <c r="S9" s="11"/>
      <c r="T9" s="11"/>
      <c r="U9" s="12" t="str">
        <f aca="false">IF(OR(R9="",S9=""),"",S9-R9-T9)</f>
        <v/>
      </c>
      <c r="V9" s="13"/>
    </row>
    <row r="10" customFormat="false" ht="30" hidden="false" customHeight="true" outlineLevel="0" collapsed="false">
      <c r="A10" s="6" t="n">
        <v>5</v>
      </c>
      <c r="B10" s="7" t="s">
        <v>24</v>
      </c>
      <c r="C10" s="7" t="s">
        <v>49</v>
      </c>
      <c r="D10" s="8" t="s">
        <v>50</v>
      </c>
      <c r="E10" s="8" t="s">
        <v>51</v>
      </c>
      <c r="F10" s="6" t="n">
        <v>1971</v>
      </c>
      <c r="G10" s="6" t="n">
        <v>1989</v>
      </c>
      <c r="H10" s="9" t="s">
        <v>52</v>
      </c>
      <c r="I10" s="9" t="s">
        <v>53</v>
      </c>
      <c r="J10" s="9" t="s">
        <v>54</v>
      </c>
      <c r="K10" s="6" t="n">
        <v>4</v>
      </c>
      <c r="L10" s="10" t="n">
        <f aca="false">F10+Rules!$B$5</f>
        <v>2001</v>
      </c>
      <c r="M10" s="10" t="n">
        <f aca="false">G10+Rules!$B$5</f>
        <v>2019</v>
      </c>
      <c r="N10" s="10" t="n">
        <f aca="false">F10+Rules!$B$6</f>
        <v>1991</v>
      </c>
      <c r="O10" s="10" t="n">
        <f aca="false">MIN(G10,Rules!$B$11-Rules!$B$5)</f>
        <v>1989</v>
      </c>
      <c r="P10" s="6" t="str">
        <f aca="false">IF(Rules!$B$11&gt;=M10,"Fully eligible",IF(Rules!$B$11&gt;=L10,"Partially eligible","Not yet"))</f>
        <v>Fully eligible</v>
      </c>
      <c r="Q10" s="6" t="str">
        <f aca="false">IF(Rules!$B$11&gt;=G10+Rules!$B$6,"Fully eligible",IF(Rules!$B$11&gt;=N10,"Partially eligible","Not yet"))</f>
        <v>Fully eligible</v>
      </c>
      <c r="R10" s="11"/>
      <c r="S10" s="11"/>
      <c r="T10" s="11"/>
      <c r="U10" s="12" t="str">
        <f aca="false">IF(OR(R10="",S10=""),"",S10-R10-T10)</f>
        <v/>
      </c>
      <c r="V10" s="13"/>
    </row>
    <row r="11" customFormat="false" ht="30" hidden="false" customHeight="true" outlineLevel="0" collapsed="false">
      <c r="A11" s="6" t="n">
        <v>6</v>
      </c>
      <c r="B11" s="7" t="s">
        <v>24</v>
      </c>
      <c r="C11" s="7" t="s">
        <v>55</v>
      </c>
      <c r="D11" s="8" t="s">
        <v>56</v>
      </c>
      <c r="E11" s="8" t="s">
        <v>57</v>
      </c>
      <c r="F11" s="6" t="n">
        <v>1979</v>
      </c>
      <c r="G11" s="6" t="n">
        <v>1996</v>
      </c>
      <c r="H11" s="9" t="s">
        <v>58</v>
      </c>
      <c r="I11" s="9" t="s">
        <v>59</v>
      </c>
      <c r="J11" s="9" t="s">
        <v>60</v>
      </c>
      <c r="K11" s="6" t="n">
        <v>5</v>
      </c>
      <c r="L11" s="10" t="n">
        <f aca="false">F11+Rules!$B$5</f>
        <v>2009</v>
      </c>
      <c r="M11" s="10" t="n">
        <f aca="false">G11+Rules!$B$5</f>
        <v>2026</v>
      </c>
      <c r="N11" s="10" t="n">
        <f aca="false">F11+Rules!$B$6</f>
        <v>1999</v>
      </c>
      <c r="O11" s="10" t="n">
        <f aca="false">MIN(G11,Rules!$B$11-Rules!$B$5)</f>
        <v>1996</v>
      </c>
      <c r="P11" s="6" t="str">
        <f aca="false">IF(Rules!$B$11&gt;=M11,"Fully eligible",IF(Rules!$B$11&gt;=L11,"Partially eligible","Not yet"))</f>
        <v>Fully eligible</v>
      </c>
      <c r="Q11" s="6" t="str">
        <f aca="false">IF(Rules!$B$11&gt;=G11+Rules!$B$6,"Fully eligible",IF(Rules!$B$11&gt;=N11,"Partially eligible","Not yet"))</f>
        <v>Fully eligible</v>
      </c>
      <c r="R11" s="11"/>
      <c r="S11" s="11"/>
      <c r="T11" s="11"/>
      <c r="U11" s="12" t="str">
        <f aca="false">IF(OR(R11="",S11=""),"",S11-R11-T11)</f>
        <v/>
      </c>
      <c r="V11" s="13"/>
    </row>
    <row r="12" customFormat="false" ht="30" hidden="false" customHeight="true" outlineLevel="0" collapsed="false">
      <c r="A12" s="6" t="n">
        <v>7</v>
      </c>
      <c r="B12" s="7" t="s">
        <v>24</v>
      </c>
      <c r="C12" s="7" t="s">
        <v>49</v>
      </c>
      <c r="D12" s="8" t="s">
        <v>61</v>
      </c>
      <c r="E12" s="8" t="s">
        <v>51</v>
      </c>
      <c r="F12" s="6" t="n">
        <v>1989</v>
      </c>
      <c r="G12" s="6" t="n">
        <v>1996</v>
      </c>
      <c r="H12" s="9" t="s">
        <v>62</v>
      </c>
      <c r="I12" s="9" t="s">
        <v>63</v>
      </c>
      <c r="J12" s="9" t="s">
        <v>64</v>
      </c>
      <c r="K12" s="6" t="n">
        <v>4</v>
      </c>
      <c r="L12" s="10" t="n">
        <f aca="false">F12+Rules!$B$5</f>
        <v>2019</v>
      </c>
      <c r="M12" s="10" t="n">
        <f aca="false">G12+Rules!$B$5</f>
        <v>2026</v>
      </c>
      <c r="N12" s="10" t="n">
        <f aca="false">F12+Rules!$B$6</f>
        <v>2009</v>
      </c>
      <c r="O12" s="10" t="n">
        <f aca="false">MIN(G12,Rules!$B$11-Rules!$B$5)</f>
        <v>1996</v>
      </c>
      <c r="P12" s="6" t="str">
        <f aca="false">IF(Rules!$B$11&gt;=M12,"Fully eligible",IF(Rules!$B$11&gt;=L12,"Partially eligible","Not yet"))</f>
        <v>Fully eligible</v>
      </c>
      <c r="Q12" s="6" t="str">
        <f aca="false">IF(Rules!$B$11&gt;=G12+Rules!$B$6,"Fully eligible",IF(Rules!$B$11&gt;=N12,"Partially eligible","Not yet"))</f>
        <v>Fully eligible</v>
      </c>
      <c r="R12" s="11"/>
      <c r="S12" s="11"/>
      <c r="T12" s="11"/>
      <c r="U12" s="12" t="str">
        <f aca="false">IF(OR(R12="",S12=""),"",S12-R12-T12)</f>
        <v/>
      </c>
      <c r="V12" s="13"/>
    </row>
    <row r="13" customFormat="false" ht="30" hidden="false" customHeight="true" outlineLevel="0" collapsed="false">
      <c r="A13" s="6" t="n">
        <v>8</v>
      </c>
      <c r="B13" s="7" t="s">
        <v>65</v>
      </c>
      <c r="C13" s="7" t="s">
        <v>66</v>
      </c>
      <c r="D13" s="8" t="s">
        <v>67</v>
      </c>
      <c r="E13" s="8" t="s">
        <v>39</v>
      </c>
      <c r="F13" s="6" t="n">
        <v>1974</v>
      </c>
      <c r="G13" s="6" t="n">
        <v>1993</v>
      </c>
      <c r="H13" s="9" t="s">
        <v>68</v>
      </c>
      <c r="I13" s="9" t="s">
        <v>69</v>
      </c>
      <c r="J13" s="9" t="s">
        <v>70</v>
      </c>
      <c r="K13" s="6" t="n">
        <v>5</v>
      </c>
      <c r="L13" s="10" t="n">
        <f aca="false">F13+Rules!$B$5</f>
        <v>2004</v>
      </c>
      <c r="M13" s="10" t="n">
        <f aca="false">G13+Rules!$B$5</f>
        <v>2023</v>
      </c>
      <c r="N13" s="10" t="n">
        <f aca="false">F13+Rules!$B$6</f>
        <v>1994</v>
      </c>
      <c r="O13" s="10" t="n">
        <f aca="false">MIN(G13,Rules!$B$11-Rules!$B$5)</f>
        <v>1993</v>
      </c>
      <c r="P13" s="6" t="str">
        <f aca="false">IF(Rules!$B$11&gt;=M13,"Fully eligible",IF(Rules!$B$11&gt;=L13,"Partially eligible","Not yet"))</f>
        <v>Fully eligible</v>
      </c>
      <c r="Q13" s="6" t="str">
        <f aca="false">IF(Rules!$B$11&gt;=G13+Rules!$B$6,"Fully eligible",IF(Rules!$B$11&gt;=N13,"Partially eligible","Not yet"))</f>
        <v>Fully eligible</v>
      </c>
      <c r="R13" s="11"/>
      <c r="S13" s="11"/>
      <c r="T13" s="11"/>
      <c r="U13" s="12" t="str">
        <f aca="false">IF(OR(R13="",S13=""),"",S13-R13-T13)</f>
        <v/>
      </c>
      <c r="V13" s="13"/>
    </row>
    <row r="14" customFormat="false" ht="30" hidden="false" customHeight="true" outlineLevel="0" collapsed="false">
      <c r="A14" s="6" t="n">
        <v>9</v>
      </c>
      <c r="B14" s="7" t="s">
        <v>65</v>
      </c>
      <c r="C14" s="7" t="s">
        <v>71</v>
      </c>
      <c r="D14" s="8" t="s">
        <v>72</v>
      </c>
      <c r="E14" s="8" t="s">
        <v>39</v>
      </c>
      <c r="F14" s="6" t="n">
        <v>1982</v>
      </c>
      <c r="G14" s="6" t="n">
        <v>1992</v>
      </c>
      <c r="H14" s="9" t="s">
        <v>73</v>
      </c>
      <c r="I14" s="9" t="s">
        <v>74</v>
      </c>
      <c r="J14" s="9" t="s">
        <v>75</v>
      </c>
      <c r="K14" s="6" t="n">
        <v>5</v>
      </c>
      <c r="L14" s="10" t="n">
        <f aca="false">F14+Rules!$B$5</f>
        <v>2012</v>
      </c>
      <c r="M14" s="10" t="n">
        <f aca="false">G14+Rules!$B$5</f>
        <v>2022</v>
      </c>
      <c r="N14" s="10" t="n">
        <f aca="false">F14+Rules!$B$6</f>
        <v>2002</v>
      </c>
      <c r="O14" s="10" t="n">
        <f aca="false">MIN(G14,Rules!$B$11-Rules!$B$5)</f>
        <v>1992</v>
      </c>
      <c r="P14" s="6" t="str">
        <f aca="false">IF(Rules!$B$11&gt;=M14,"Fully eligible",IF(Rules!$B$11&gt;=L14,"Partially eligible","Not yet"))</f>
        <v>Fully eligible</v>
      </c>
      <c r="Q14" s="6" t="str">
        <f aca="false">IF(Rules!$B$11&gt;=G14+Rules!$B$6,"Fully eligible",IF(Rules!$B$11&gt;=N14,"Partially eligible","Not yet"))</f>
        <v>Fully eligible</v>
      </c>
      <c r="R14" s="11"/>
      <c r="S14" s="11"/>
      <c r="T14" s="11"/>
      <c r="U14" s="12" t="str">
        <f aca="false">IF(OR(R14="",S14=""),"",S14-R14-T14)</f>
        <v/>
      </c>
      <c r="V14" s="13"/>
    </row>
    <row r="15" customFormat="false" ht="30" hidden="false" customHeight="true" outlineLevel="0" collapsed="false">
      <c r="A15" s="6" t="n">
        <v>10</v>
      </c>
      <c r="B15" s="7" t="s">
        <v>65</v>
      </c>
      <c r="C15" s="7" t="s">
        <v>76</v>
      </c>
      <c r="D15" s="8" t="s">
        <v>77</v>
      </c>
      <c r="E15" s="8" t="s">
        <v>39</v>
      </c>
      <c r="F15" s="6" t="n">
        <v>1990</v>
      </c>
      <c r="G15" s="6" t="n">
        <v>1998</v>
      </c>
      <c r="H15" s="9" t="s">
        <v>78</v>
      </c>
      <c r="I15" s="9" t="s">
        <v>79</v>
      </c>
      <c r="J15" s="9" t="s">
        <v>80</v>
      </c>
      <c r="K15" s="6" t="n">
        <v>4</v>
      </c>
      <c r="L15" s="10" t="n">
        <f aca="false">F15+Rules!$B$5</f>
        <v>2020</v>
      </c>
      <c r="M15" s="10" t="n">
        <f aca="false">G15+Rules!$B$5</f>
        <v>2028</v>
      </c>
      <c r="N15" s="10" t="n">
        <f aca="false">F15+Rules!$B$6</f>
        <v>2010</v>
      </c>
      <c r="O15" s="10" t="n">
        <f aca="false">MIN(G15,Rules!$B$11-Rules!$B$5)</f>
        <v>1996</v>
      </c>
      <c r="P15" s="6" t="str">
        <f aca="false">IF(Rules!$B$11&gt;=M15,"Fully eligible",IF(Rules!$B$11&gt;=L15,"Partially eligible","Not yet"))</f>
        <v>Partially eligible</v>
      </c>
      <c r="Q15" s="6" t="str">
        <f aca="false">IF(Rules!$B$11&gt;=G15+Rules!$B$6,"Fully eligible",IF(Rules!$B$11&gt;=N15,"Partially eligible","Not yet"))</f>
        <v>Fully eligible</v>
      </c>
      <c r="R15" s="11"/>
      <c r="S15" s="11"/>
      <c r="T15" s="11"/>
      <c r="U15" s="12" t="str">
        <f aca="false">IF(OR(R15="",S15=""),"",S15-R15-T15)</f>
        <v/>
      </c>
      <c r="V15" s="13"/>
    </row>
    <row r="16" customFormat="false" ht="30" hidden="false" customHeight="true" outlineLevel="0" collapsed="false">
      <c r="A16" s="6" t="n">
        <v>11</v>
      </c>
      <c r="B16" s="7" t="s">
        <v>65</v>
      </c>
      <c r="C16" s="7" t="s">
        <v>81</v>
      </c>
      <c r="D16" s="8" t="s">
        <v>81</v>
      </c>
      <c r="E16" s="8" t="s">
        <v>39</v>
      </c>
      <c r="F16" s="6" t="n">
        <v>1991</v>
      </c>
      <c r="G16" s="6" t="n">
        <v>1996</v>
      </c>
      <c r="H16" s="9" t="s">
        <v>82</v>
      </c>
      <c r="I16" s="9" t="s">
        <v>83</v>
      </c>
      <c r="J16" s="9" t="s">
        <v>84</v>
      </c>
      <c r="K16" s="6" t="n">
        <v>4</v>
      </c>
      <c r="L16" s="10" t="n">
        <f aca="false">F16+Rules!$B$5</f>
        <v>2021</v>
      </c>
      <c r="M16" s="10" t="n">
        <f aca="false">G16+Rules!$B$5</f>
        <v>2026</v>
      </c>
      <c r="N16" s="10" t="n">
        <f aca="false">F16+Rules!$B$6</f>
        <v>2011</v>
      </c>
      <c r="O16" s="10" t="n">
        <f aca="false">MIN(G16,Rules!$B$11-Rules!$B$5)</f>
        <v>1996</v>
      </c>
      <c r="P16" s="6" t="str">
        <f aca="false">IF(Rules!$B$11&gt;=M16,"Fully eligible",IF(Rules!$B$11&gt;=L16,"Partially eligible","Not yet"))</f>
        <v>Fully eligible</v>
      </c>
      <c r="Q16" s="6" t="str">
        <f aca="false">IF(Rules!$B$11&gt;=G16+Rules!$B$6,"Fully eligible",IF(Rules!$B$11&gt;=N16,"Partially eligible","Not yet"))</f>
        <v>Fully eligible</v>
      </c>
      <c r="R16" s="11"/>
      <c r="S16" s="11"/>
      <c r="T16" s="11"/>
      <c r="U16" s="12" t="str">
        <f aca="false">IF(OR(R16="",S16=""),"",S16-R16-T16)</f>
        <v/>
      </c>
      <c r="V16" s="13"/>
    </row>
    <row r="17" customFormat="false" ht="30" hidden="false" customHeight="true" outlineLevel="0" collapsed="false">
      <c r="A17" s="6" t="n">
        <v>12</v>
      </c>
      <c r="B17" s="7" t="s">
        <v>85</v>
      </c>
      <c r="C17" s="7" t="s">
        <v>86</v>
      </c>
      <c r="D17" s="8" t="s">
        <v>87</v>
      </c>
      <c r="E17" s="8" t="s">
        <v>57</v>
      </c>
      <c r="F17" s="6" t="n">
        <v>1980</v>
      </c>
      <c r="G17" s="6" t="n">
        <v>1997</v>
      </c>
      <c r="H17" s="9" t="s">
        <v>88</v>
      </c>
      <c r="I17" s="9" t="s">
        <v>89</v>
      </c>
      <c r="J17" s="9" t="s">
        <v>90</v>
      </c>
      <c r="K17" s="6" t="n">
        <v>5</v>
      </c>
      <c r="L17" s="10" t="n">
        <f aca="false">F17+Rules!$B$5</f>
        <v>2010</v>
      </c>
      <c r="M17" s="10" t="n">
        <f aca="false">G17+Rules!$B$5</f>
        <v>2027</v>
      </c>
      <c r="N17" s="10" t="n">
        <f aca="false">F17+Rules!$B$6</f>
        <v>2000</v>
      </c>
      <c r="O17" s="10" t="n">
        <f aca="false">MIN(G17,Rules!$B$11-Rules!$B$5)</f>
        <v>1996</v>
      </c>
      <c r="P17" s="6" t="str">
        <f aca="false">IF(Rules!$B$11&gt;=M17,"Fully eligible",IF(Rules!$B$11&gt;=L17,"Partially eligible","Not yet"))</f>
        <v>Partially eligible</v>
      </c>
      <c r="Q17" s="6" t="str">
        <f aca="false">IF(Rules!$B$11&gt;=G17+Rules!$B$6,"Fully eligible",IF(Rules!$B$11&gt;=N17,"Partially eligible","Not yet"))</f>
        <v>Fully eligible</v>
      </c>
      <c r="R17" s="11"/>
      <c r="S17" s="11"/>
      <c r="T17" s="11"/>
      <c r="U17" s="12" t="str">
        <f aca="false">IF(OR(R17="",S17=""),"",S17-R17-T17)</f>
        <v/>
      </c>
      <c r="V17" s="13"/>
    </row>
    <row r="18" customFormat="false" ht="30" hidden="false" customHeight="true" outlineLevel="0" collapsed="false">
      <c r="A18" s="6" t="n">
        <v>13</v>
      </c>
      <c r="B18" s="7" t="s">
        <v>85</v>
      </c>
      <c r="C18" s="7" t="s">
        <v>91</v>
      </c>
      <c r="D18" s="8" t="s">
        <v>92</v>
      </c>
      <c r="E18" s="8" t="s">
        <v>93</v>
      </c>
      <c r="F18" s="6" t="n">
        <v>1983</v>
      </c>
      <c r="G18" s="6" t="n">
        <v>1997</v>
      </c>
      <c r="H18" s="9" t="s">
        <v>94</v>
      </c>
      <c r="I18" s="9" t="s">
        <v>95</v>
      </c>
      <c r="J18" s="9" t="s">
        <v>96</v>
      </c>
      <c r="K18" s="6" t="n">
        <v>5</v>
      </c>
      <c r="L18" s="10" t="n">
        <f aca="false">F18+Rules!$B$5</f>
        <v>2013</v>
      </c>
      <c r="M18" s="10" t="n">
        <f aca="false">G18+Rules!$B$5</f>
        <v>2027</v>
      </c>
      <c r="N18" s="10" t="n">
        <f aca="false">F18+Rules!$B$6</f>
        <v>2003</v>
      </c>
      <c r="O18" s="10" t="n">
        <f aca="false">MIN(G18,Rules!$B$11-Rules!$B$5)</f>
        <v>1996</v>
      </c>
      <c r="P18" s="6" t="str">
        <f aca="false">IF(Rules!$B$11&gt;=M18,"Fully eligible",IF(Rules!$B$11&gt;=L18,"Partially eligible","Not yet"))</f>
        <v>Partially eligible</v>
      </c>
      <c r="Q18" s="6" t="str">
        <f aca="false">IF(Rules!$B$11&gt;=G18+Rules!$B$6,"Fully eligible",IF(Rules!$B$11&gt;=N18,"Partially eligible","Not yet"))</f>
        <v>Fully eligible</v>
      </c>
      <c r="R18" s="11"/>
      <c r="S18" s="11"/>
      <c r="T18" s="11"/>
      <c r="U18" s="12" t="str">
        <f aca="false">IF(OR(R18="",S18=""),"",S18-R18-T18)</f>
        <v/>
      </c>
      <c r="V18" s="13"/>
    </row>
    <row r="19" customFormat="false" ht="30" hidden="false" customHeight="true" outlineLevel="0" collapsed="false">
      <c r="A19" s="6" t="n">
        <v>14</v>
      </c>
      <c r="B19" s="7" t="s">
        <v>85</v>
      </c>
      <c r="C19" s="7" t="s">
        <v>97</v>
      </c>
      <c r="D19" s="8" t="s">
        <v>98</v>
      </c>
      <c r="E19" s="8" t="s">
        <v>99</v>
      </c>
      <c r="F19" s="6" t="n">
        <v>1983</v>
      </c>
      <c r="G19" s="6" t="n">
        <v>1997</v>
      </c>
      <c r="H19" s="9" t="s">
        <v>100</v>
      </c>
      <c r="I19" s="9" t="s">
        <v>101</v>
      </c>
      <c r="J19" s="9" t="s">
        <v>102</v>
      </c>
      <c r="K19" s="6" t="n">
        <v>5</v>
      </c>
      <c r="L19" s="10" t="n">
        <f aca="false">F19+Rules!$B$5</f>
        <v>2013</v>
      </c>
      <c r="M19" s="10" t="n">
        <f aca="false">G19+Rules!$B$5</f>
        <v>2027</v>
      </c>
      <c r="N19" s="10" t="n">
        <f aca="false">F19+Rules!$B$6</f>
        <v>2003</v>
      </c>
      <c r="O19" s="10" t="n">
        <f aca="false">MIN(G19,Rules!$B$11-Rules!$B$5)</f>
        <v>1996</v>
      </c>
      <c r="P19" s="6" t="str">
        <f aca="false">IF(Rules!$B$11&gt;=M19,"Fully eligible",IF(Rules!$B$11&gt;=L19,"Partially eligible","Not yet"))</f>
        <v>Partially eligible</v>
      </c>
      <c r="Q19" s="6" t="str">
        <f aca="false">IF(Rules!$B$11&gt;=G19+Rules!$B$6,"Fully eligible",IF(Rules!$B$11&gt;=N19,"Partially eligible","Not yet"))</f>
        <v>Fully eligible</v>
      </c>
      <c r="R19" s="11"/>
      <c r="S19" s="11"/>
      <c r="T19" s="11"/>
      <c r="U19" s="12" t="str">
        <f aca="false">IF(OR(R19="",S19=""),"",S19-R19-T19)</f>
        <v/>
      </c>
      <c r="V19" s="13"/>
    </row>
    <row r="20" customFormat="false" ht="30" hidden="false" customHeight="true" outlineLevel="0" collapsed="false">
      <c r="A20" s="6" t="n">
        <v>15</v>
      </c>
      <c r="B20" s="7" t="s">
        <v>85</v>
      </c>
      <c r="C20" s="7" t="s">
        <v>103</v>
      </c>
      <c r="D20" s="8" t="s">
        <v>104</v>
      </c>
      <c r="E20" s="8" t="s">
        <v>27</v>
      </c>
      <c r="F20" s="6" t="n">
        <v>1984</v>
      </c>
      <c r="G20" s="6" t="n">
        <v>1997</v>
      </c>
      <c r="H20" s="9" t="s">
        <v>105</v>
      </c>
      <c r="I20" s="9" t="s">
        <v>106</v>
      </c>
      <c r="J20" s="9" t="s">
        <v>107</v>
      </c>
      <c r="K20" s="6" t="n">
        <v>5</v>
      </c>
      <c r="L20" s="10" t="n">
        <f aca="false">F20+Rules!$B$5</f>
        <v>2014</v>
      </c>
      <c r="M20" s="10" t="n">
        <f aca="false">G20+Rules!$B$5</f>
        <v>2027</v>
      </c>
      <c r="N20" s="10" t="n">
        <f aca="false">F20+Rules!$B$6</f>
        <v>2004</v>
      </c>
      <c r="O20" s="10" t="n">
        <f aca="false">MIN(G20,Rules!$B$11-Rules!$B$5)</f>
        <v>1996</v>
      </c>
      <c r="P20" s="6" t="str">
        <f aca="false">IF(Rules!$B$11&gt;=M20,"Fully eligible",IF(Rules!$B$11&gt;=L20,"Partially eligible","Not yet"))</f>
        <v>Partially eligible</v>
      </c>
      <c r="Q20" s="6" t="str">
        <f aca="false">IF(Rules!$B$11&gt;=G20+Rules!$B$6,"Fully eligible",IF(Rules!$B$11&gt;=N20,"Partially eligible","Not yet"))</f>
        <v>Fully eligible</v>
      </c>
      <c r="R20" s="11"/>
      <c r="S20" s="11"/>
      <c r="T20" s="11"/>
      <c r="U20" s="12" t="str">
        <f aca="false">IF(OR(R20="",S20=""),"",S20-R20-T20)</f>
        <v/>
      </c>
      <c r="V20" s="13"/>
    </row>
    <row r="21" customFormat="false" ht="30" hidden="false" customHeight="true" outlineLevel="0" collapsed="false">
      <c r="A21" s="6" t="n">
        <v>16</v>
      </c>
      <c r="B21" s="7" t="s">
        <v>85</v>
      </c>
      <c r="C21" s="7" t="s">
        <v>108</v>
      </c>
      <c r="D21" s="8" t="s">
        <v>109</v>
      </c>
      <c r="E21" s="8" t="s">
        <v>110</v>
      </c>
      <c r="F21" s="6" t="n">
        <v>1985</v>
      </c>
      <c r="G21" s="6" t="n">
        <v>1993</v>
      </c>
      <c r="H21" s="9" t="s">
        <v>111</v>
      </c>
      <c r="I21" s="9" t="s">
        <v>112</v>
      </c>
      <c r="J21" s="9" t="s">
        <v>113</v>
      </c>
      <c r="K21" s="6" t="n">
        <v>4</v>
      </c>
      <c r="L21" s="10" t="n">
        <f aca="false">F21+Rules!$B$5</f>
        <v>2015</v>
      </c>
      <c r="M21" s="10" t="n">
        <f aca="false">G21+Rules!$B$5</f>
        <v>2023</v>
      </c>
      <c r="N21" s="10" t="n">
        <f aca="false">F21+Rules!$B$6</f>
        <v>2005</v>
      </c>
      <c r="O21" s="10" t="n">
        <f aca="false">MIN(G21,Rules!$B$11-Rules!$B$5)</f>
        <v>1993</v>
      </c>
      <c r="P21" s="6" t="str">
        <f aca="false">IF(Rules!$B$11&gt;=M21,"Fully eligible",IF(Rules!$B$11&gt;=L21,"Partially eligible","Not yet"))</f>
        <v>Fully eligible</v>
      </c>
      <c r="Q21" s="6" t="str">
        <f aca="false">IF(Rules!$B$11&gt;=G21+Rules!$B$6,"Fully eligible",IF(Rules!$B$11&gt;=N21,"Partially eligible","Not yet"))</f>
        <v>Fully eligible</v>
      </c>
      <c r="R21" s="11"/>
      <c r="S21" s="11"/>
      <c r="T21" s="11"/>
      <c r="U21" s="12" t="str">
        <f aca="false">IF(OR(R21="",S21=""),"",S21-R21-T21)</f>
        <v/>
      </c>
      <c r="V21" s="13"/>
    </row>
    <row r="22" customFormat="false" ht="30" hidden="false" customHeight="true" outlineLevel="0" collapsed="false">
      <c r="A22" s="6" t="n">
        <v>17</v>
      </c>
      <c r="B22" s="7" t="s">
        <v>85</v>
      </c>
      <c r="C22" s="7" t="s">
        <v>114</v>
      </c>
      <c r="D22" s="8" t="s">
        <v>115</v>
      </c>
      <c r="E22" s="8" t="s">
        <v>116</v>
      </c>
      <c r="F22" s="6" t="n">
        <v>1990</v>
      </c>
      <c r="G22" s="6" t="n">
        <v>1996</v>
      </c>
      <c r="H22" s="9" t="s">
        <v>117</v>
      </c>
      <c r="I22" s="9" t="s">
        <v>118</v>
      </c>
      <c r="J22" s="9" t="s">
        <v>119</v>
      </c>
      <c r="K22" s="6" t="n">
        <v>4</v>
      </c>
      <c r="L22" s="10" t="n">
        <f aca="false">F22+Rules!$B$5</f>
        <v>2020</v>
      </c>
      <c r="M22" s="10" t="n">
        <f aca="false">G22+Rules!$B$5</f>
        <v>2026</v>
      </c>
      <c r="N22" s="10" t="n">
        <f aca="false">F22+Rules!$B$6</f>
        <v>2010</v>
      </c>
      <c r="O22" s="10" t="n">
        <f aca="false">MIN(G22,Rules!$B$11-Rules!$B$5)</f>
        <v>1996</v>
      </c>
      <c r="P22" s="6" t="str">
        <f aca="false">IF(Rules!$B$11&gt;=M22,"Fully eligible",IF(Rules!$B$11&gt;=L22,"Partially eligible","Not yet"))</f>
        <v>Fully eligible</v>
      </c>
      <c r="Q22" s="6" t="str">
        <f aca="false">IF(Rules!$B$11&gt;=G22+Rules!$B$6,"Fully eligible",IF(Rules!$B$11&gt;=N22,"Partially eligible","Not yet"))</f>
        <v>Fully eligible</v>
      </c>
      <c r="R22" s="11"/>
      <c r="S22" s="11"/>
      <c r="T22" s="11"/>
      <c r="U22" s="12" t="str">
        <f aca="false">IF(OR(R22="",S22=""),"",S22-R22-T22)</f>
        <v/>
      </c>
      <c r="V22" s="13"/>
    </row>
    <row r="23" customFormat="false" ht="30" hidden="false" customHeight="true" outlineLevel="0" collapsed="false">
      <c r="A23" s="6" t="n">
        <v>18</v>
      </c>
      <c r="B23" s="7" t="s">
        <v>120</v>
      </c>
      <c r="C23" s="7" t="s">
        <v>121</v>
      </c>
      <c r="D23" s="8" t="s">
        <v>122</v>
      </c>
      <c r="E23" s="8" t="s">
        <v>27</v>
      </c>
      <c r="F23" s="6" t="n">
        <v>1989</v>
      </c>
      <c r="G23" s="6" t="n">
        <v>1994</v>
      </c>
      <c r="H23" s="9" t="s">
        <v>123</v>
      </c>
      <c r="I23" s="9" t="s">
        <v>124</v>
      </c>
      <c r="J23" s="9" t="s">
        <v>125</v>
      </c>
      <c r="K23" s="6" t="n">
        <v>5</v>
      </c>
      <c r="L23" s="10" t="n">
        <f aca="false">F23+Rules!$B$5</f>
        <v>2019</v>
      </c>
      <c r="M23" s="10" t="n">
        <f aca="false">G23+Rules!$B$5</f>
        <v>2024</v>
      </c>
      <c r="N23" s="10" t="n">
        <f aca="false">F23+Rules!$B$6</f>
        <v>2009</v>
      </c>
      <c r="O23" s="10" t="n">
        <f aca="false">MIN(G23,Rules!$B$11-Rules!$B$5)</f>
        <v>1994</v>
      </c>
      <c r="P23" s="6" t="str">
        <f aca="false">IF(Rules!$B$11&gt;=M23,"Fully eligible",IF(Rules!$B$11&gt;=L23,"Partially eligible","Not yet"))</f>
        <v>Fully eligible</v>
      </c>
      <c r="Q23" s="6" t="str">
        <f aca="false">IF(Rules!$B$11&gt;=G23+Rules!$B$6,"Fully eligible",IF(Rules!$B$11&gt;=N23,"Partially eligible","Not yet"))</f>
        <v>Fully eligible</v>
      </c>
      <c r="R23" s="11"/>
      <c r="S23" s="11"/>
      <c r="T23" s="11"/>
      <c r="U23" s="12" t="str">
        <f aca="false">IF(OR(R23="",S23=""),"",S23-R23-T23)</f>
        <v/>
      </c>
      <c r="V23" s="13"/>
    </row>
    <row r="24" customFormat="false" ht="30" hidden="false" customHeight="true" outlineLevel="0" collapsed="false">
      <c r="A24" s="6" t="n">
        <v>19</v>
      </c>
      <c r="B24" s="7" t="s">
        <v>126</v>
      </c>
      <c r="C24" s="7" t="s">
        <v>127</v>
      </c>
      <c r="D24" s="8" t="s">
        <v>128</v>
      </c>
      <c r="E24" s="8" t="s">
        <v>129</v>
      </c>
      <c r="F24" s="6" t="n">
        <v>1983</v>
      </c>
      <c r="G24" s="6" t="n">
        <v>1996</v>
      </c>
      <c r="H24" s="9" t="s">
        <v>130</v>
      </c>
      <c r="I24" s="9" t="s">
        <v>131</v>
      </c>
      <c r="J24" s="9" t="s">
        <v>132</v>
      </c>
      <c r="K24" s="6" t="n">
        <v>4</v>
      </c>
      <c r="L24" s="10" t="n">
        <f aca="false">F24+Rules!$B$5</f>
        <v>2013</v>
      </c>
      <c r="M24" s="10" t="n">
        <f aca="false">G24+Rules!$B$5</f>
        <v>2026</v>
      </c>
      <c r="N24" s="10" t="n">
        <f aca="false">F24+Rules!$B$6</f>
        <v>2003</v>
      </c>
      <c r="O24" s="10" t="n">
        <f aca="false">MIN(G24,Rules!$B$11-Rules!$B$5)</f>
        <v>1996</v>
      </c>
      <c r="P24" s="6" t="str">
        <f aca="false">IF(Rules!$B$11&gt;=M24,"Fully eligible",IF(Rules!$B$11&gt;=L24,"Partially eligible","Not yet"))</f>
        <v>Fully eligible</v>
      </c>
      <c r="Q24" s="6" t="str">
        <f aca="false">IF(Rules!$B$11&gt;=G24+Rules!$B$6,"Fully eligible",IF(Rules!$B$11&gt;=N24,"Partially eligible","Not yet"))</f>
        <v>Fully eligible</v>
      </c>
      <c r="R24" s="11"/>
      <c r="S24" s="11"/>
      <c r="T24" s="11"/>
      <c r="U24" s="12" t="str">
        <f aca="false">IF(OR(R24="",S24=""),"",S24-R24-T24)</f>
        <v/>
      </c>
      <c r="V24" s="13"/>
    </row>
    <row r="25" customFormat="false" ht="30" hidden="false" customHeight="true" outlineLevel="0" collapsed="false">
      <c r="A25" s="6" t="n">
        <v>20</v>
      </c>
      <c r="B25" s="7" t="s">
        <v>133</v>
      </c>
      <c r="C25" s="7" t="s">
        <v>134</v>
      </c>
      <c r="D25" s="8" t="s">
        <v>135</v>
      </c>
      <c r="E25" s="8" t="s">
        <v>51</v>
      </c>
      <c r="F25" s="6" t="n">
        <v>1989</v>
      </c>
      <c r="G25" s="6" t="n">
        <v>1997</v>
      </c>
      <c r="H25" s="9" t="s">
        <v>136</v>
      </c>
      <c r="I25" s="9" t="s">
        <v>137</v>
      </c>
      <c r="J25" s="9" t="s">
        <v>138</v>
      </c>
      <c r="K25" s="6" t="n">
        <v>5</v>
      </c>
      <c r="L25" s="10" t="n">
        <f aca="false">F25+Rules!$B$5</f>
        <v>2019</v>
      </c>
      <c r="M25" s="10" t="n">
        <f aca="false">G25+Rules!$B$5</f>
        <v>2027</v>
      </c>
      <c r="N25" s="10" t="n">
        <f aca="false">F25+Rules!$B$6</f>
        <v>2009</v>
      </c>
      <c r="O25" s="10" t="n">
        <f aca="false">MIN(G25,Rules!$B$11-Rules!$B$5)</f>
        <v>1996</v>
      </c>
      <c r="P25" s="6" t="str">
        <f aca="false">IF(Rules!$B$11&gt;=M25,"Fully eligible",IF(Rules!$B$11&gt;=L25,"Partially eligible","Not yet"))</f>
        <v>Partially eligible</v>
      </c>
      <c r="Q25" s="6" t="str">
        <f aca="false">IF(Rules!$B$11&gt;=G25+Rules!$B$6,"Fully eligible",IF(Rules!$B$11&gt;=N25,"Partially eligible","Not yet"))</f>
        <v>Fully eligible</v>
      </c>
      <c r="R25" s="11"/>
      <c r="S25" s="11"/>
      <c r="T25" s="11"/>
      <c r="U25" s="12" t="str">
        <f aca="false">IF(OR(R25="",S25=""),"",S25-R25-T25)</f>
        <v/>
      </c>
      <c r="V25" s="13"/>
    </row>
    <row r="26" customFormat="false" ht="30" hidden="false" customHeight="true" outlineLevel="0" collapsed="false">
      <c r="A26" s="6" t="n">
        <v>21</v>
      </c>
      <c r="B26" s="7" t="s">
        <v>133</v>
      </c>
      <c r="C26" s="7" t="s">
        <v>139</v>
      </c>
      <c r="D26" s="8" t="s">
        <v>140</v>
      </c>
      <c r="E26" s="8" t="s">
        <v>99</v>
      </c>
      <c r="F26" s="6" t="n">
        <v>1985</v>
      </c>
      <c r="G26" s="6" t="n">
        <v>1996</v>
      </c>
      <c r="H26" s="9" t="s">
        <v>141</v>
      </c>
      <c r="I26" s="9" t="s">
        <v>142</v>
      </c>
      <c r="J26" s="9" t="s">
        <v>143</v>
      </c>
      <c r="K26" s="6" t="n">
        <v>4</v>
      </c>
      <c r="L26" s="10" t="n">
        <f aca="false">F26+Rules!$B$5</f>
        <v>2015</v>
      </c>
      <c r="M26" s="10" t="n">
        <f aca="false">G26+Rules!$B$5</f>
        <v>2026</v>
      </c>
      <c r="N26" s="10" t="n">
        <f aca="false">F26+Rules!$B$6</f>
        <v>2005</v>
      </c>
      <c r="O26" s="10" t="n">
        <f aca="false">MIN(G26,Rules!$B$11-Rules!$B$5)</f>
        <v>1996</v>
      </c>
      <c r="P26" s="6" t="str">
        <f aca="false">IF(Rules!$B$11&gt;=M26,"Fully eligible",IF(Rules!$B$11&gt;=L26,"Partially eligible","Not yet"))</f>
        <v>Fully eligible</v>
      </c>
      <c r="Q26" s="6" t="str">
        <f aca="false">IF(Rules!$B$11&gt;=G26+Rules!$B$6,"Fully eligible",IF(Rules!$B$11&gt;=N26,"Partially eligible","Not yet"))</f>
        <v>Fully eligible</v>
      </c>
      <c r="R26" s="11"/>
      <c r="S26" s="11"/>
      <c r="T26" s="11"/>
      <c r="U26" s="12" t="str">
        <f aca="false">IF(OR(R26="",S26=""),"",S26-R26-T26)</f>
        <v/>
      </c>
      <c r="V26" s="13"/>
    </row>
    <row r="27" customFormat="false" ht="30" hidden="false" customHeight="true" outlineLevel="0" collapsed="false">
      <c r="A27" s="6" t="n">
        <v>22</v>
      </c>
      <c r="B27" s="7" t="s">
        <v>144</v>
      </c>
      <c r="C27" s="7" t="s">
        <v>145</v>
      </c>
      <c r="D27" s="8" t="s">
        <v>146</v>
      </c>
      <c r="E27" s="8" t="s">
        <v>57</v>
      </c>
      <c r="F27" s="6" t="n">
        <v>1987</v>
      </c>
      <c r="G27" s="6" t="n">
        <v>1997</v>
      </c>
      <c r="H27" s="9" t="s">
        <v>147</v>
      </c>
      <c r="I27" s="9" t="s">
        <v>148</v>
      </c>
      <c r="J27" s="9" t="s">
        <v>96</v>
      </c>
      <c r="K27" s="6" t="n">
        <v>5</v>
      </c>
      <c r="L27" s="10" t="n">
        <f aca="false">F27+Rules!$B$5</f>
        <v>2017</v>
      </c>
      <c r="M27" s="10" t="n">
        <f aca="false">G27+Rules!$B$5</f>
        <v>2027</v>
      </c>
      <c r="N27" s="10" t="n">
        <f aca="false">F27+Rules!$B$6</f>
        <v>2007</v>
      </c>
      <c r="O27" s="10" t="n">
        <f aca="false">MIN(G27,Rules!$B$11-Rules!$B$5)</f>
        <v>1996</v>
      </c>
      <c r="P27" s="6" t="str">
        <f aca="false">IF(Rules!$B$11&gt;=M27,"Fully eligible",IF(Rules!$B$11&gt;=L27,"Partially eligible","Not yet"))</f>
        <v>Partially eligible</v>
      </c>
      <c r="Q27" s="6" t="str">
        <f aca="false">IF(Rules!$B$11&gt;=G27+Rules!$B$6,"Fully eligible",IF(Rules!$B$11&gt;=N27,"Partially eligible","Not yet"))</f>
        <v>Fully eligible</v>
      </c>
      <c r="R27" s="11"/>
      <c r="S27" s="11"/>
      <c r="T27" s="11"/>
      <c r="U27" s="12" t="str">
        <f aca="false">IF(OR(R27="",S27=""),"",S27-R27-T27)</f>
        <v/>
      </c>
      <c r="V27" s="13"/>
    </row>
    <row r="28" customFormat="false" ht="30" hidden="false" customHeight="true" outlineLevel="0" collapsed="false">
      <c r="A28" s="6" t="n">
        <v>23</v>
      </c>
      <c r="B28" s="7" t="s">
        <v>144</v>
      </c>
      <c r="C28" s="7" t="s">
        <v>149</v>
      </c>
      <c r="D28" s="8" t="s">
        <v>150</v>
      </c>
      <c r="E28" s="8" t="s">
        <v>151</v>
      </c>
      <c r="F28" s="6" t="n">
        <v>1982</v>
      </c>
      <c r="G28" s="6" t="n">
        <v>1996</v>
      </c>
      <c r="H28" s="9" t="s">
        <v>152</v>
      </c>
      <c r="I28" s="9" t="s">
        <v>153</v>
      </c>
      <c r="J28" s="9" t="s">
        <v>143</v>
      </c>
      <c r="K28" s="6" t="n">
        <v>4</v>
      </c>
      <c r="L28" s="10" t="n">
        <f aca="false">F28+Rules!$B$5</f>
        <v>2012</v>
      </c>
      <c r="M28" s="10" t="n">
        <f aca="false">G28+Rules!$B$5</f>
        <v>2026</v>
      </c>
      <c r="N28" s="10" t="n">
        <f aca="false">F28+Rules!$B$6</f>
        <v>2002</v>
      </c>
      <c r="O28" s="10" t="n">
        <f aca="false">MIN(G28,Rules!$B$11-Rules!$B$5)</f>
        <v>1996</v>
      </c>
      <c r="P28" s="6" t="str">
        <f aca="false">IF(Rules!$B$11&gt;=M28,"Fully eligible",IF(Rules!$B$11&gt;=L28,"Partially eligible","Not yet"))</f>
        <v>Fully eligible</v>
      </c>
      <c r="Q28" s="6" t="str">
        <f aca="false">IF(Rules!$B$11&gt;=G28+Rules!$B$6,"Fully eligible",IF(Rules!$B$11&gt;=N28,"Partially eligible","Not yet"))</f>
        <v>Fully eligible</v>
      </c>
      <c r="R28" s="11"/>
      <c r="S28" s="11"/>
      <c r="T28" s="11"/>
      <c r="U28" s="12" t="str">
        <f aca="false">IF(OR(R28="",S28=""),"",S28-R28-T28)</f>
        <v/>
      </c>
      <c r="V28" s="13"/>
    </row>
    <row r="29" customFormat="false" ht="30" hidden="false" customHeight="true" outlineLevel="0" collapsed="false">
      <c r="A29" s="6" t="n">
        <v>24</v>
      </c>
      <c r="B29" s="7" t="s">
        <v>154</v>
      </c>
      <c r="C29" s="7" t="s">
        <v>155</v>
      </c>
      <c r="D29" s="8" t="s">
        <v>156</v>
      </c>
      <c r="E29" s="8" t="s">
        <v>57</v>
      </c>
      <c r="F29" s="6" t="n">
        <v>1982</v>
      </c>
      <c r="G29" s="6" t="n">
        <v>1999</v>
      </c>
      <c r="H29" s="9" t="s">
        <v>157</v>
      </c>
      <c r="I29" s="9" t="s">
        <v>158</v>
      </c>
      <c r="J29" s="9" t="s">
        <v>159</v>
      </c>
      <c r="K29" s="6" t="n">
        <v>4</v>
      </c>
      <c r="L29" s="10" t="n">
        <f aca="false">F29+Rules!$B$5</f>
        <v>2012</v>
      </c>
      <c r="M29" s="10" t="n">
        <f aca="false">G29+Rules!$B$5</f>
        <v>2029</v>
      </c>
      <c r="N29" s="10" t="n">
        <f aca="false">F29+Rules!$B$6</f>
        <v>2002</v>
      </c>
      <c r="O29" s="10" t="n">
        <f aca="false">MIN(G29,Rules!$B$11-Rules!$B$5)</f>
        <v>1996</v>
      </c>
      <c r="P29" s="6" t="str">
        <f aca="false">IF(Rules!$B$11&gt;=M29,"Fully eligible",IF(Rules!$B$11&gt;=L29,"Partially eligible","Not yet"))</f>
        <v>Partially eligible</v>
      </c>
      <c r="Q29" s="6" t="str">
        <f aca="false">IF(Rules!$B$11&gt;=G29+Rules!$B$6,"Fully eligible",IF(Rules!$B$11&gt;=N29,"Partially eligible","Not yet"))</f>
        <v>Fully eligible</v>
      </c>
      <c r="R29" s="11"/>
      <c r="S29" s="11"/>
      <c r="T29" s="11"/>
      <c r="U29" s="12" t="str">
        <f aca="false">IF(OR(R29="",S29=""),"",S29-R29-T29)</f>
        <v/>
      </c>
      <c r="V29" s="13"/>
    </row>
    <row r="30" customFormat="false" ht="30" hidden="false" customHeight="true" outlineLevel="0" collapsed="false">
      <c r="A30" s="6" t="n">
        <v>25</v>
      </c>
      <c r="B30" s="7" t="s">
        <v>154</v>
      </c>
      <c r="C30" s="7" t="s">
        <v>160</v>
      </c>
      <c r="D30" s="8" t="s">
        <v>128</v>
      </c>
      <c r="E30" s="8" t="s">
        <v>161</v>
      </c>
      <c r="F30" s="6" t="n">
        <v>1984</v>
      </c>
      <c r="G30" s="6" t="n">
        <v>1996</v>
      </c>
      <c r="H30" s="9" t="s">
        <v>162</v>
      </c>
      <c r="I30" s="9" t="s">
        <v>163</v>
      </c>
      <c r="J30" s="9" t="s">
        <v>143</v>
      </c>
      <c r="K30" s="6" t="n">
        <v>4</v>
      </c>
      <c r="L30" s="10" t="n">
        <f aca="false">F30+Rules!$B$5</f>
        <v>2014</v>
      </c>
      <c r="M30" s="10" t="n">
        <f aca="false">G30+Rules!$B$5</f>
        <v>2026</v>
      </c>
      <c r="N30" s="10" t="n">
        <f aca="false">F30+Rules!$B$6</f>
        <v>2004</v>
      </c>
      <c r="O30" s="10" t="n">
        <f aca="false">MIN(G30,Rules!$B$11-Rules!$B$5)</f>
        <v>1996</v>
      </c>
      <c r="P30" s="6" t="str">
        <f aca="false">IF(Rules!$B$11&gt;=M30,"Fully eligible",IF(Rules!$B$11&gt;=L30,"Partially eligible","Not yet"))</f>
        <v>Fully eligible</v>
      </c>
      <c r="Q30" s="6" t="str">
        <f aca="false">IF(Rules!$B$11&gt;=G30+Rules!$B$6,"Fully eligible",IF(Rules!$B$11&gt;=N30,"Partially eligible","Not yet"))</f>
        <v>Fully eligible</v>
      </c>
      <c r="R30" s="11"/>
      <c r="S30" s="11"/>
      <c r="T30" s="11"/>
      <c r="U30" s="12" t="str">
        <f aca="false">IF(OR(R30="",S30=""),"",S30-R30-T30)</f>
        <v/>
      </c>
      <c r="V30" s="13"/>
    </row>
    <row r="31" customFormat="false" ht="30" hidden="false" customHeight="true" outlineLevel="0" collapsed="false">
      <c r="A31" s="6" t="n">
        <v>26</v>
      </c>
      <c r="B31" s="7" t="s">
        <v>164</v>
      </c>
      <c r="C31" s="7" t="s">
        <v>165</v>
      </c>
      <c r="D31" s="8" t="s">
        <v>166</v>
      </c>
      <c r="E31" s="8" t="s">
        <v>39</v>
      </c>
      <c r="F31" s="6" t="n">
        <v>1989</v>
      </c>
      <c r="G31" s="6" t="n">
        <v>1996</v>
      </c>
      <c r="H31" s="9" t="s">
        <v>167</v>
      </c>
      <c r="I31" s="9" t="s">
        <v>168</v>
      </c>
      <c r="J31" s="9" t="s">
        <v>169</v>
      </c>
      <c r="K31" s="6" t="n">
        <v>4</v>
      </c>
      <c r="L31" s="10" t="n">
        <f aca="false">F31+Rules!$B$5</f>
        <v>2019</v>
      </c>
      <c r="M31" s="10" t="n">
        <f aca="false">G31+Rules!$B$5</f>
        <v>2026</v>
      </c>
      <c r="N31" s="10" t="n">
        <f aca="false">F31+Rules!$B$6</f>
        <v>2009</v>
      </c>
      <c r="O31" s="10" t="n">
        <f aca="false">MIN(G31,Rules!$B$11-Rules!$B$5)</f>
        <v>1996</v>
      </c>
      <c r="P31" s="6" t="str">
        <f aca="false">IF(Rules!$B$11&gt;=M31,"Fully eligible",IF(Rules!$B$11&gt;=L31,"Partially eligible","Not yet"))</f>
        <v>Fully eligible</v>
      </c>
      <c r="Q31" s="6" t="str">
        <f aca="false">IF(Rules!$B$11&gt;=G31+Rules!$B$6,"Fully eligible",IF(Rules!$B$11&gt;=N31,"Partially eligible","Not yet"))</f>
        <v>Fully eligible</v>
      </c>
      <c r="R31" s="11"/>
      <c r="S31" s="11"/>
      <c r="T31" s="11"/>
      <c r="U31" s="12" t="str">
        <f aca="false">IF(OR(R31="",S31=""),"",S31-R31-T31)</f>
        <v/>
      </c>
      <c r="V31" s="13"/>
    </row>
    <row r="32" customFormat="false" ht="30" hidden="false" customHeight="true" outlineLevel="0" collapsed="false">
      <c r="A32" s="6" t="n">
        <v>27</v>
      </c>
      <c r="B32" s="7" t="s">
        <v>170</v>
      </c>
      <c r="C32" s="7" t="s">
        <v>171</v>
      </c>
      <c r="D32" s="8" t="s">
        <v>172</v>
      </c>
      <c r="E32" s="8" t="s">
        <v>57</v>
      </c>
      <c r="F32" s="6" t="n">
        <v>1981</v>
      </c>
      <c r="G32" s="6" t="n">
        <v>1998</v>
      </c>
      <c r="H32" s="9" t="s">
        <v>173</v>
      </c>
      <c r="I32" s="9" t="s">
        <v>174</v>
      </c>
      <c r="J32" s="9" t="s">
        <v>175</v>
      </c>
      <c r="K32" s="6" t="n">
        <v>4</v>
      </c>
      <c r="L32" s="10" t="n">
        <f aca="false">F32+Rules!$B$5</f>
        <v>2011</v>
      </c>
      <c r="M32" s="10" t="n">
        <f aca="false">G32+Rules!$B$5</f>
        <v>2028</v>
      </c>
      <c r="N32" s="10" t="n">
        <f aca="false">F32+Rules!$B$6</f>
        <v>2001</v>
      </c>
      <c r="O32" s="10" t="n">
        <f aca="false">MIN(G32,Rules!$B$11-Rules!$B$5)</f>
        <v>1996</v>
      </c>
      <c r="P32" s="6" t="str">
        <f aca="false">IF(Rules!$B$11&gt;=M32,"Fully eligible",IF(Rules!$B$11&gt;=L32,"Partially eligible","Not yet"))</f>
        <v>Partially eligible</v>
      </c>
      <c r="Q32" s="6" t="str">
        <f aca="false">IF(Rules!$B$11&gt;=G32+Rules!$B$6,"Fully eligible",IF(Rules!$B$11&gt;=N32,"Partially eligible","Not yet"))</f>
        <v>Fully eligible</v>
      </c>
      <c r="R32" s="11"/>
      <c r="S32" s="11"/>
      <c r="T32" s="11"/>
      <c r="U32" s="12" t="str">
        <f aca="false">IF(OR(R32="",S32=""),"",S32-R32-T32)</f>
        <v/>
      </c>
      <c r="V32" s="13"/>
    </row>
    <row r="33" customFormat="false" ht="30" hidden="false" customHeight="true" outlineLevel="0" collapsed="false">
      <c r="A33" s="6" t="n">
        <v>28</v>
      </c>
      <c r="B33" s="7" t="s">
        <v>176</v>
      </c>
      <c r="C33" s="7" t="s">
        <v>177</v>
      </c>
      <c r="D33" s="8" t="s">
        <v>178</v>
      </c>
      <c r="E33" s="8" t="s">
        <v>179</v>
      </c>
      <c r="F33" s="6" t="n">
        <v>1984</v>
      </c>
      <c r="G33" s="6" t="n">
        <v>1998</v>
      </c>
      <c r="H33" s="9" t="s">
        <v>180</v>
      </c>
      <c r="I33" s="9" t="s">
        <v>181</v>
      </c>
      <c r="J33" s="9" t="s">
        <v>143</v>
      </c>
      <c r="K33" s="6" t="n">
        <v>4</v>
      </c>
      <c r="L33" s="10" t="n">
        <f aca="false">F33+Rules!$B$5</f>
        <v>2014</v>
      </c>
      <c r="M33" s="10" t="n">
        <f aca="false">G33+Rules!$B$5</f>
        <v>2028</v>
      </c>
      <c r="N33" s="10" t="n">
        <f aca="false">F33+Rules!$B$6</f>
        <v>2004</v>
      </c>
      <c r="O33" s="10" t="n">
        <f aca="false">MIN(G33,Rules!$B$11-Rules!$B$5)</f>
        <v>1996</v>
      </c>
      <c r="P33" s="6" t="str">
        <f aca="false">IF(Rules!$B$11&gt;=M33,"Fully eligible",IF(Rules!$B$11&gt;=L33,"Partially eligible","Not yet"))</f>
        <v>Partially eligible</v>
      </c>
      <c r="Q33" s="6" t="str">
        <f aca="false">IF(Rules!$B$11&gt;=G33+Rules!$B$6,"Fully eligible",IF(Rules!$B$11&gt;=N33,"Partially eligible","Not yet"))</f>
        <v>Fully eligible</v>
      </c>
      <c r="R33" s="11"/>
      <c r="S33" s="11"/>
      <c r="T33" s="11"/>
      <c r="U33" s="12" t="str">
        <f aca="false">IF(OR(R33="",S33=""),"",S33-R33-T33)</f>
        <v/>
      </c>
      <c r="V33" s="13"/>
    </row>
    <row r="34" customFormat="false" ht="30" hidden="false" customHeight="true" outlineLevel="0" collapsed="false">
      <c r="A34" s="6" t="n">
        <v>29</v>
      </c>
      <c r="B34" s="7" t="s">
        <v>182</v>
      </c>
      <c r="C34" s="7" t="s">
        <v>183</v>
      </c>
      <c r="D34" s="8" t="s">
        <v>128</v>
      </c>
      <c r="E34" s="8" t="s">
        <v>99</v>
      </c>
      <c r="F34" s="6" t="n">
        <v>1983</v>
      </c>
      <c r="G34" s="6" t="n">
        <v>1997</v>
      </c>
      <c r="H34" s="9" t="s">
        <v>184</v>
      </c>
      <c r="I34" s="9" t="s">
        <v>185</v>
      </c>
      <c r="J34" s="9" t="s">
        <v>186</v>
      </c>
      <c r="K34" s="6" t="n">
        <v>4</v>
      </c>
      <c r="L34" s="10" t="n">
        <f aca="false">F34+Rules!$B$5</f>
        <v>2013</v>
      </c>
      <c r="M34" s="10" t="n">
        <f aca="false">G34+Rules!$B$5</f>
        <v>2027</v>
      </c>
      <c r="N34" s="10" t="n">
        <f aca="false">F34+Rules!$B$6</f>
        <v>2003</v>
      </c>
      <c r="O34" s="10" t="n">
        <f aca="false">MIN(G34,Rules!$B$11-Rules!$B$5)</f>
        <v>1996</v>
      </c>
      <c r="P34" s="6" t="str">
        <f aca="false">IF(Rules!$B$11&gt;=M34,"Fully eligible",IF(Rules!$B$11&gt;=L34,"Partially eligible","Not yet"))</f>
        <v>Partially eligible</v>
      </c>
      <c r="Q34" s="6" t="str">
        <f aca="false">IF(Rules!$B$11&gt;=G34+Rules!$B$6,"Fully eligible",IF(Rules!$B$11&gt;=N34,"Partially eligible","Not yet"))</f>
        <v>Fully eligible</v>
      </c>
      <c r="R34" s="11"/>
      <c r="S34" s="11"/>
      <c r="T34" s="11"/>
      <c r="U34" s="12" t="str">
        <f aca="false">IF(OR(R34="",S34=""),"",S34-R34-T34)</f>
        <v/>
      </c>
      <c r="V34" s="13"/>
    </row>
    <row r="35" customFormat="false" ht="30" hidden="false" customHeight="true" outlineLevel="0" collapsed="false">
      <c r="A35" s="6" t="n">
        <v>30</v>
      </c>
      <c r="B35" s="7" t="s">
        <v>182</v>
      </c>
      <c r="C35" s="7" t="s">
        <v>187</v>
      </c>
      <c r="D35" s="8" t="s">
        <v>187</v>
      </c>
      <c r="E35" s="8" t="s">
        <v>39</v>
      </c>
      <c r="F35" s="6" t="n">
        <v>1979</v>
      </c>
      <c r="G35" s="6" t="n">
        <v>1992</v>
      </c>
      <c r="H35" s="9" t="s">
        <v>188</v>
      </c>
      <c r="I35" s="9" t="s">
        <v>189</v>
      </c>
      <c r="J35" s="9" t="s">
        <v>119</v>
      </c>
      <c r="K35" s="6" t="n">
        <v>4</v>
      </c>
      <c r="L35" s="10" t="n">
        <f aca="false">F35+Rules!$B$5</f>
        <v>2009</v>
      </c>
      <c r="M35" s="10" t="n">
        <f aca="false">G35+Rules!$B$5</f>
        <v>2022</v>
      </c>
      <c r="N35" s="10" t="n">
        <f aca="false">F35+Rules!$B$6</f>
        <v>1999</v>
      </c>
      <c r="O35" s="10" t="n">
        <f aca="false">MIN(G35,Rules!$B$11-Rules!$B$5)</f>
        <v>1992</v>
      </c>
      <c r="P35" s="6" t="str">
        <f aca="false">IF(Rules!$B$11&gt;=M35,"Fully eligible",IF(Rules!$B$11&gt;=L35,"Partially eligible","Not yet"))</f>
        <v>Fully eligible</v>
      </c>
      <c r="Q35" s="6" t="str">
        <f aca="false">IF(Rules!$B$11&gt;=G35+Rules!$B$6,"Fully eligible",IF(Rules!$B$11&gt;=N35,"Partially eligible","Not yet"))</f>
        <v>Fully eligible</v>
      </c>
      <c r="R35" s="11"/>
      <c r="S35" s="11"/>
      <c r="T35" s="11"/>
      <c r="U35" s="12" t="str">
        <f aca="false">IF(OR(R35="",S35=""),"",S35-R35-T35)</f>
        <v/>
      </c>
      <c r="V35" s="13"/>
    </row>
    <row r="36" customFormat="false" ht="30" hidden="false" customHeight="true" outlineLevel="0" collapsed="false">
      <c r="A36" s="6" t="n">
        <v>31</v>
      </c>
      <c r="B36" s="7" t="s">
        <v>190</v>
      </c>
      <c r="C36" s="7" t="s">
        <v>191</v>
      </c>
      <c r="D36" s="8" t="s">
        <v>128</v>
      </c>
      <c r="E36" s="8" t="s">
        <v>99</v>
      </c>
      <c r="F36" s="6" t="n">
        <v>1982</v>
      </c>
      <c r="G36" s="6" t="n">
        <v>1997</v>
      </c>
      <c r="H36" s="9" t="s">
        <v>192</v>
      </c>
      <c r="I36" s="9" t="s">
        <v>193</v>
      </c>
      <c r="J36" s="9" t="s">
        <v>194</v>
      </c>
      <c r="K36" s="6" t="n">
        <v>3</v>
      </c>
      <c r="L36" s="10" t="n">
        <f aca="false">F36+Rules!$B$5</f>
        <v>2012</v>
      </c>
      <c r="M36" s="10" t="n">
        <f aca="false">G36+Rules!$B$5</f>
        <v>2027</v>
      </c>
      <c r="N36" s="10" t="n">
        <f aca="false">F36+Rules!$B$6</f>
        <v>2002</v>
      </c>
      <c r="O36" s="10" t="n">
        <f aca="false">MIN(G36,Rules!$B$11-Rules!$B$5)</f>
        <v>1996</v>
      </c>
      <c r="P36" s="6" t="str">
        <f aca="false">IF(Rules!$B$11&gt;=M36,"Fully eligible",IF(Rules!$B$11&gt;=L36,"Partially eligible","Not yet"))</f>
        <v>Partially eligible</v>
      </c>
      <c r="Q36" s="6" t="str">
        <f aca="false">IF(Rules!$B$11&gt;=G36+Rules!$B$6,"Fully eligible",IF(Rules!$B$11&gt;=N36,"Partially eligible","Not yet"))</f>
        <v>Fully eligible</v>
      </c>
      <c r="R36" s="11"/>
      <c r="S36" s="11"/>
      <c r="T36" s="11"/>
      <c r="U36" s="12" t="str">
        <f aca="false">IF(OR(R36="",S36=""),"",S36-R36-T36)</f>
        <v/>
      </c>
      <c r="V36" s="13"/>
    </row>
    <row r="37" customFormat="false" ht="30" hidden="false" customHeight="true" outlineLevel="0" collapsed="false">
      <c r="A37" s="6" t="n">
        <v>32</v>
      </c>
      <c r="B37" s="7" t="s">
        <v>195</v>
      </c>
      <c r="C37" s="7" t="s">
        <v>196</v>
      </c>
      <c r="D37" s="8" t="s">
        <v>197</v>
      </c>
      <c r="E37" s="8" t="s">
        <v>198</v>
      </c>
      <c r="F37" s="6" t="n">
        <v>1961</v>
      </c>
      <c r="G37" s="6" t="n">
        <v>1992</v>
      </c>
      <c r="H37" s="9" t="s">
        <v>199</v>
      </c>
      <c r="I37" s="9" t="s">
        <v>200</v>
      </c>
      <c r="J37" s="9" t="s">
        <v>201</v>
      </c>
      <c r="K37" s="6" t="n">
        <v>4</v>
      </c>
      <c r="L37" s="10" t="n">
        <f aca="false">F37+Rules!$B$5</f>
        <v>1991</v>
      </c>
      <c r="M37" s="10" t="n">
        <f aca="false">G37+Rules!$B$5</f>
        <v>2022</v>
      </c>
      <c r="N37" s="10" t="n">
        <f aca="false">F37+Rules!$B$6</f>
        <v>1981</v>
      </c>
      <c r="O37" s="10" t="n">
        <f aca="false">MIN(G37,Rules!$B$11-Rules!$B$5)</f>
        <v>1992</v>
      </c>
      <c r="P37" s="6" t="str">
        <f aca="false">IF(Rules!$B$11&gt;=M37,"Fully eligible",IF(Rules!$B$11&gt;=L37,"Partially eligible","Not yet"))</f>
        <v>Fully eligible</v>
      </c>
      <c r="Q37" s="6" t="str">
        <f aca="false">IF(Rules!$B$11&gt;=G37+Rules!$B$6,"Fully eligible",IF(Rules!$B$11&gt;=N37,"Partially eligible","Not yet"))</f>
        <v>Fully eligible</v>
      </c>
      <c r="R37" s="11"/>
      <c r="S37" s="11"/>
      <c r="T37" s="11"/>
      <c r="U37" s="12" t="str">
        <f aca="false">IF(OR(R37="",S37=""),"",S37-R37-T37)</f>
        <v/>
      </c>
      <c r="V37" s="13"/>
    </row>
    <row r="38" customFormat="false" ht="30" hidden="false" customHeight="true" outlineLevel="0" collapsed="false">
      <c r="A38" s="6" t="n">
        <v>33</v>
      </c>
      <c r="B38" s="7" t="s">
        <v>195</v>
      </c>
      <c r="C38" s="7" t="s">
        <v>202</v>
      </c>
      <c r="D38" s="8" t="s">
        <v>128</v>
      </c>
      <c r="E38" s="8" t="s">
        <v>203</v>
      </c>
      <c r="F38" s="6" t="n">
        <v>1985</v>
      </c>
      <c r="G38" s="6" t="n">
        <v>1996</v>
      </c>
      <c r="H38" s="9" t="s">
        <v>204</v>
      </c>
      <c r="I38" s="9" t="s">
        <v>205</v>
      </c>
      <c r="J38" s="9" t="s">
        <v>206</v>
      </c>
      <c r="K38" s="6" t="n">
        <v>3</v>
      </c>
      <c r="L38" s="10" t="n">
        <f aca="false">F38+Rules!$B$5</f>
        <v>2015</v>
      </c>
      <c r="M38" s="10" t="n">
        <f aca="false">G38+Rules!$B$5</f>
        <v>2026</v>
      </c>
      <c r="N38" s="10" t="n">
        <f aca="false">F38+Rules!$B$6</f>
        <v>2005</v>
      </c>
      <c r="O38" s="10" t="n">
        <f aca="false">MIN(G38,Rules!$B$11-Rules!$B$5)</f>
        <v>1996</v>
      </c>
      <c r="P38" s="6" t="str">
        <f aca="false">IF(Rules!$B$11&gt;=M38,"Fully eligible",IF(Rules!$B$11&gt;=L38,"Partially eligible","Not yet"))</f>
        <v>Fully eligible</v>
      </c>
      <c r="Q38" s="6" t="str">
        <f aca="false">IF(Rules!$B$11&gt;=G38+Rules!$B$6,"Fully eligible",IF(Rules!$B$11&gt;=N38,"Partially eligible","Not yet"))</f>
        <v>Fully eligible</v>
      </c>
      <c r="R38" s="11"/>
      <c r="S38" s="11"/>
      <c r="T38" s="11"/>
      <c r="U38" s="12" t="str">
        <f aca="false">IF(OR(R38="",S38=""),"",S38-R38-T38)</f>
        <v/>
      </c>
      <c r="V38" s="13"/>
    </row>
    <row r="39" customFormat="false" ht="30" hidden="false" customHeight="true" outlineLevel="0" collapsed="false">
      <c r="A39" s="6" t="n">
        <v>34</v>
      </c>
      <c r="B39" s="7" t="s">
        <v>207</v>
      </c>
      <c r="C39" s="7" t="s">
        <v>208</v>
      </c>
      <c r="D39" s="8" t="s">
        <v>209</v>
      </c>
      <c r="E39" s="8" t="s">
        <v>210</v>
      </c>
      <c r="F39" s="6" t="n">
        <v>1980</v>
      </c>
      <c r="G39" s="6" t="n">
        <v>2003</v>
      </c>
      <c r="H39" s="9" t="s">
        <v>211</v>
      </c>
      <c r="I39" s="9" t="s">
        <v>212</v>
      </c>
      <c r="J39" s="9" t="s">
        <v>143</v>
      </c>
      <c r="K39" s="6" t="n">
        <v>4</v>
      </c>
      <c r="L39" s="10" t="n">
        <f aca="false">F39+Rules!$B$5</f>
        <v>2010</v>
      </c>
      <c r="M39" s="10" t="n">
        <f aca="false">G39+Rules!$B$5</f>
        <v>2033</v>
      </c>
      <c r="N39" s="10" t="n">
        <f aca="false">F39+Rules!$B$6</f>
        <v>2000</v>
      </c>
      <c r="O39" s="10" t="n">
        <f aca="false">MIN(G39,Rules!$B$11-Rules!$B$5)</f>
        <v>1996</v>
      </c>
      <c r="P39" s="6" t="str">
        <f aca="false">IF(Rules!$B$11&gt;=M39,"Fully eligible",IF(Rules!$B$11&gt;=L39,"Partially eligible","Not yet"))</f>
        <v>Partially eligible</v>
      </c>
      <c r="Q39" s="6" t="str">
        <f aca="false">IF(Rules!$B$11&gt;=G39+Rules!$B$6,"Fully eligible",IF(Rules!$B$11&gt;=N39,"Partially eligible","Not yet"))</f>
        <v>Fully eligible</v>
      </c>
      <c r="R39" s="11"/>
      <c r="S39" s="11"/>
      <c r="T39" s="11"/>
      <c r="U39" s="12" t="str">
        <f aca="false">IF(OR(R39="",S39=""),"",S39-R39-T39)</f>
        <v/>
      </c>
      <c r="V39" s="13"/>
    </row>
    <row r="40" customFormat="false" ht="30" hidden="false" customHeight="true" outlineLevel="0" collapsed="false">
      <c r="A40" s="6" t="n">
        <v>35</v>
      </c>
      <c r="B40" s="7" t="s">
        <v>207</v>
      </c>
      <c r="C40" s="7" t="s">
        <v>213</v>
      </c>
      <c r="D40" s="8" t="s">
        <v>214</v>
      </c>
      <c r="E40" s="8" t="s">
        <v>198</v>
      </c>
      <c r="F40" s="6" t="n">
        <v>1983</v>
      </c>
      <c r="G40" s="6" t="n">
        <v>1995</v>
      </c>
      <c r="H40" s="9" t="s">
        <v>215</v>
      </c>
      <c r="I40" s="9" t="s">
        <v>216</v>
      </c>
      <c r="J40" s="9" t="s">
        <v>143</v>
      </c>
      <c r="K40" s="6" t="n">
        <v>3</v>
      </c>
      <c r="L40" s="10" t="n">
        <f aca="false">F40+Rules!$B$5</f>
        <v>2013</v>
      </c>
      <c r="M40" s="10" t="n">
        <f aca="false">G40+Rules!$B$5</f>
        <v>2025</v>
      </c>
      <c r="N40" s="10" t="n">
        <f aca="false">F40+Rules!$B$6</f>
        <v>2003</v>
      </c>
      <c r="O40" s="10" t="n">
        <f aca="false">MIN(G40,Rules!$B$11-Rules!$B$5)</f>
        <v>1995</v>
      </c>
      <c r="P40" s="6" t="str">
        <f aca="false">IF(Rules!$B$11&gt;=M40,"Fully eligible",IF(Rules!$B$11&gt;=L40,"Partially eligible","Not yet"))</f>
        <v>Fully eligible</v>
      </c>
      <c r="Q40" s="6" t="str">
        <f aca="false">IF(Rules!$B$11&gt;=G40+Rules!$B$6,"Fully eligible",IF(Rules!$B$11&gt;=N40,"Partially eligible","Not yet"))</f>
        <v>Fully eligible</v>
      </c>
      <c r="R40" s="11"/>
      <c r="S40" s="11"/>
      <c r="T40" s="11"/>
      <c r="U40" s="12" t="str">
        <f aca="false">IF(OR(R40="",S40=""),"",S40-R40-T40)</f>
        <v/>
      </c>
      <c r="V40" s="13"/>
    </row>
    <row r="41" customFormat="false" ht="30" hidden="false" customHeight="true" outlineLevel="0" collapsed="false">
      <c r="A41" s="6" t="n">
        <v>36</v>
      </c>
      <c r="B41" s="7" t="s">
        <v>217</v>
      </c>
      <c r="C41" s="7" t="s">
        <v>218</v>
      </c>
      <c r="D41" s="8" t="s">
        <v>219</v>
      </c>
      <c r="E41" s="8" t="s">
        <v>99</v>
      </c>
      <c r="F41" s="6" t="n">
        <v>1980</v>
      </c>
      <c r="G41" s="6" t="n">
        <v>1992</v>
      </c>
      <c r="H41" s="9" t="s">
        <v>220</v>
      </c>
      <c r="I41" s="9" t="s">
        <v>221</v>
      </c>
      <c r="J41" s="9" t="s">
        <v>222</v>
      </c>
      <c r="K41" s="6" t="n">
        <v>5</v>
      </c>
      <c r="L41" s="10" t="n">
        <f aca="false">F41+Rules!$B$5</f>
        <v>2010</v>
      </c>
      <c r="M41" s="10" t="n">
        <f aca="false">G41+Rules!$B$5</f>
        <v>2022</v>
      </c>
      <c r="N41" s="10" t="n">
        <f aca="false">F41+Rules!$B$6</f>
        <v>2000</v>
      </c>
      <c r="O41" s="10" t="n">
        <f aca="false">MIN(G41,Rules!$B$11-Rules!$B$5)</f>
        <v>1992</v>
      </c>
      <c r="P41" s="6" t="str">
        <f aca="false">IF(Rules!$B$11&gt;=M41,"Fully eligible",IF(Rules!$B$11&gt;=L41,"Partially eligible","Not yet"))</f>
        <v>Fully eligible</v>
      </c>
      <c r="Q41" s="6" t="str">
        <f aca="false">IF(Rules!$B$11&gt;=G41+Rules!$B$6,"Fully eligible",IF(Rules!$B$11&gt;=N41,"Partially eligible","Not yet"))</f>
        <v>Fully eligible</v>
      </c>
      <c r="R41" s="11"/>
      <c r="S41" s="11"/>
      <c r="T41" s="11"/>
      <c r="U41" s="12" t="str">
        <f aca="false">IF(OR(R41="",S41=""),"",S41-R41-T41)</f>
        <v/>
      </c>
      <c r="V41" s="13"/>
    </row>
    <row r="42" customFormat="false" ht="30" hidden="false" customHeight="true" outlineLevel="0" collapsed="false">
      <c r="A42" s="6" t="n">
        <v>37</v>
      </c>
      <c r="B42" s="7" t="s">
        <v>217</v>
      </c>
      <c r="C42" s="7" t="s">
        <v>223</v>
      </c>
      <c r="D42" s="8" t="s">
        <v>224</v>
      </c>
      <c r="E42" s="8" t="s">
        <v>225</v>
      </c>
      <c r="F42" s="6" t="n">
        <v>1988</v>
      </c>
      <c r="G42" s="6" t="n">
        <v>1997</v>
      </c>
      <c r="H42" s="9" t="s">
        <v>226</v>
      </c>
      <c r="I42" s="9" t="s">
        <v>227</v>
      </c>
      <c r="J42" s="9" t="s">
        <v>206</v>
      </c>
      <c r="K42" s="6" t="n">
        <v>5</v>
      </c>
      <c r="L42" s="10" t="n">
        <f aca="false">F42+Rules!$B$5</f>
        <v>2018</v>
      </c>
      <c r="M42" s="10" t="n">
        <f aca="false">G42+Rules!$B$5</f>
        <v>2027</v>
      </c>
      <c r="N42" s="10" t="n">
        <f aca="false">F42+Rules!$B$6</f>
        <v>2008</v>
      </c>
      <c r="O42" s="10" t="n">
        <f aca="false">MIN(G42,Rules!$B$11-Rules!$B$5)</f>
        <v>1996</v>
      </c>
      <c r="P42" s="6" t="str">
        <f aca="false">IF(Rules!$B$11&gt;=M42,"Fully eligible",IF(Rules!$B$11&gt;=L42,"Partially eligible","Not yet"))</f>
        <v>Partially eligible</v>
      </c>
      <c r="Q42" s="6" t="str">
        <f aca="false">IF(Rules!$B$11&gt;=G42+Rules!$B$6,"Fully eligible",IF(Rules!$B$11&gt;=N42,"Partially eligible","Not yet"))</f>
        <v>Fully eligible</v>
      </c>
      <c r="R42" s="11"/>
      <c r="S42" s="11"/>
      <c r="T42" s="11"/>
      <c r="U42" s="12" t="str">
        <f aca="false">IF(OR(R42="",S42=""),"",S42-R42-T42)</f>
        <v/>
      </c>
      <c r="V42" s="13"/>
    </row>
    <row r="43" customFormat="false" ht="30" hidden="false" customHeight="true" outlineLevel="0" collapsed="false">
      <c r="A43" s="6" t="n">
        <v>38</v>
      </c>
      <c r="B43" s="7" t="s">
        <v>217</v>
      </c>
      <c r="C43" s="7" t="s">
        <v>228</v>
      </c>
      <c r="D43" s="8" t="s">
        <v>229</v>
      </c>
      <c r="E43" s="8" t="s">
        <v>230</v>
      </c>
      <c r="F43" s="6" t="n">
        <v>1979</v>
      </c>
      <c r="G43" s="6" t="n">
        <v>2003</v>
      </c>
      <c r="H43" s="9" t="s">
        <v>231</v>
      </c>
      <c r="I43" s="9" t="s">
        <v>232</v>
      </c>
      <c r="J43" s="9" t="s">
        <v>233</v>
      </c>
      <c r="K43" s="6" t="n">
        <v>4</v>
      </c>
      <c r="L43" s="10" t="n">
        <f aca="false">F43+Rules!$B$5</f>
        <v>2009</v>
      </c>
      <c r="M43" s="10" t="n">
        <f aca="false">G43+Rules!$B$5</f>
        <v>2033</v>
      </c>
      <c r="N43" s="10" t="n">
        <f aca="false">F43+Rules!$B$6</f>
        <v>1999</v>
      </c>
      <c r="O43" s="10" t="n">
        <f aca="false">MIN(G43,Rules!$B$11-Rules!$B$5)</f>
        <v>1996</v>
      </c>
      <c r="P43" s="6" t="str">
        <f aca="false">IF(Rules!$B$11&gt;=M43,"Fully eligible",IF(Rules!$B$11&gt;=L43,"Partially eligible","Not yet"))</f>
        <v>Partially eligible</v>
      </c>
      <c r="Q43" s="6" t="str">
        <f aca="false">IF(Rules!$B$11&gt;=G43+Rules!$B$6,"Fully eligible",IF(Rules!$B$11&gt;=N43,"Partially eligible","Not yet"))</f>
        <v>Fully eligible</v>
      </c>
      <c r="R43" s="11"/>
      <c r="S43" s="11"/>
      <c r="T43" s="11"/>
      <c r="U43" s="12" t="str">
        <f aca="false">IF(OR(R43="",S43=""),"",S43-R43-T43)</f>
        <v/>
      </c>
      <c r="V43" s="13"/>
    </row>
    <row r="44" customFormat="false" ht="30" hidden="false" customHeight="true" outlineLevel="0" collapsed="false">
      <c r="A44" s="6" t="n">
        <v>39</v>
      </c>
      <c r="B44" s="7" t="s">
        <v>234</v>
      </c>
      <c r="C44" s="7" t="s">
        <v>235</v>
      </c>
      <c r="D44" s="8" t="s">
        <v>236</v>
      </c>
      <c r="E44" s="8" t="s">
        <v>39</v>
      </c>
      <c r="F44" s="6" t="n">
        <v>1986</v>
      </c>
      <c r="G44" s="6" t="n">
        <v>1996</v>
      </c>
      <c r="H44" s="9" t="s">
        <v>237</v>
      </c>
      <c r="I44" s="9" t="s">
        <v>238</v>
      </c>
      <c r="J44" s="9" t="s">
        <v>206</v>
      </c>
      <c r="K44" s="6" t="n">
        <v>5</v>
      </c>
      <c r="L44" s="10" t="n">
        <f aca="false">F44+Rules!$B$5</f>
        <v>2016</v>
      </c>
      <c r="M44" s="10" t="n">
        <f aca="false">G44+Rules!$B$5</f>
        <v>2026</v>
      </c>
      <c r="N44" s="10" t="n">
        <f aca="false">F44+Rules!$B$6</f>
        <v>2006</v>
      </c>
      <c r="O44" s="10" t="n">
        <f aca="false">MIN(G44,Rules!$B$11-Rules!$B$5)</f>
        <v>1996</v>
      </c>
      <c r="P44" s="6" t="str">
        <f aca="false">IF(Rules!$B$11&gt;=M44,"Fully eligible",IF(Rules!$B$11&gt;=L44,"Partially eligible","Not yet"))</f>
        <v>Fully eligible</v>
      </c>
      <c r="Q44" s="6" t="str">
        <f aca="false">IF(Rules!$B$11&gt;=G44+Rules!$B$6,"Fully eligible",IF(Rules!$B$11&gt;=N44,"Partially eligible","Not yet"))</f>
        <v>Fully eligible</v>
      </c>
      <c r="R44" s="11"/>
      <c r="S44" s="11"/>
      <c r="T44" s="11"/>
      <c r="U44" s="12" t="str">
        <f aca="false">IF(OR(R44="",S44=""),"",S44-R44-T44)</f>
        <v/>
      </c>
      <c r="V44" s="13"/>
    </row>
    <row r="45" customFormat="false" ht="30" hidden="false" customHeight="true" outlineLevel="0" collapsed="false">
      <c r="A45" s="6" t="n">
        <v>40</v>
      </c>
      <c r="B45" s="7" t="s">
        <v>234</v>
      </c>
      <c r="C45" s="7" t="s">
        <v>239</v>
      </c>
      <c r="D45" s="8" t="s">
        <v>240</v>
      </c>
      <c r="E45" s="8" t="s">
        <v>39</v>
      </c>
      <c r="F45" s="6" t="n">
        <v>1982</v>
      </c>
      <c r="G45" s="6" t="n">
        <v>1997</v>
      </c>
      <c r="H45" s="9" t="s">
        <v>241</v>
      </c>
      <c r="I45" s="9" t="s">
        <v>242</v>
      </c>
      <c r="J45" s="9" t="s">
        <v>243</v>
      </c>
      <c r="K45" s="6" t="n">
        <v>4</v>
      </c>
      <c r="L45" s="10" t="n">
        <f aca="false">F45+Rules!$B$5</f>
        <v>2012</v>
      </c>
      <c r="M45" s="10" t="n">
        <f aca="false">G45+Rules!$B$5</f>
        <v>2027</v>
      </c>
      <c r="N45" s="10" t="n">
        <f aca="false">F45+Rules!$B$6</f>
        <v>2002</v>
      </c>
      <c r="O45" s="10" t="n">
        <f aca="false">MIN(G45,Rules!$B$11-Rules!$B$5)</f>
        <v>1996</v>
      </c>
      <c r="P45" s="6" t="str">
        <f aca="false">IF(Rules!$B$11&gt;=M45,"Fully eligible",IF(Rules!$B$11&gt;=L45,"Partially eligible","Not yet"))</f>
        <v>Partially eligible</v>
      </c>
      <c r="Q45" s="6" t="str">
        <f aca="false">IF(Rules!$B$11&gt;=G45+Rules!$B$6,"Fully eligible",IF(Rules!$B$11&gt;=N45,"Partially eligible","Not yet"))</f>
        <v>Fully eligible</v>
      </c>
      <c r="R45" s="11"/>
      <c r="S45" s="11"/>
      <c r="T45" s="11"/>
      <c r="U45" s="12" t="str">
        <f aca="false">IF(OR(R45="",S45=""),"",S45-R45-T45)</f>
        <v/>
      </c>
      <c r="V45" s="13"/>
    </row>
    <row r="46" customFormat="false" ht="30" hidden="false" customHeight="true" outlineLevel="0" collapsed="false">
      <c r="A46" s="6" t="n">
        <v>41</v>
      </c>
      <c r="B46" s="7" t="s">
        <v>244</v>
      </c>
      <c r="C46" s="7" t="s">
        <v>245</v>
      </c>
      <c r="D46" s="8" t="s">
        <v>246</v>
      </c>
      <c r="E46" s="8" t="s">
        <v>247</v>
      </c>
      <c r="F46" s="6" t="n">
        <v>1982</v>
      </c>
      <c r="G46" s="6" t="n">
        <v>1994</v>
      </c>
      <c r="H46" s="9" t="s">
        <v>248</v>
      </c>
      <c r="I46" s="9" t="s">
        <v>249</v>
      </c>
      <c r="J46" s="9" t="s">
        <v>250</v>
      </c>
      <c r="K46" s="6" t="n">
        <v>4</v>
      </c>
      <c r="L46" s="10" t="n">
        <f aca="false">F46+Rules!$B$5</f>
        <v>2012</v>
      </c>
      <c r="M46" s="10" t="n">
        <f aca="false">G46+Rules!$B$5</f>
        <v>2024</v>
      </c>
      <c r="N46" s="10" t="n">
        <f aca="false">F46+Rules!$B$6</f>
        <v>2002</v>
      </c>
      <c r="O46" s="10" t="n">
        <f aca="false">MIN(G46,Rules!$B$11-Rules!$B$5)</f>
        <v>1994</v>
      </c>
      <c r="P46" s="6" t="str">
        <f aca="false">IF(Rules!$B$11&gt;=M46,"Fully eligible",IF(Rules!$B$11&gt;=L46,"Partially eligible","Not yet"))</f>
        <v>Fully eligible</v>
      </c>
      <c r="Q46" s="6" t="str">
        <f aca="false">IF(Rules!$B$11&gt;=G46+Rules!$B$6,"Fully eligible",IF(Rules!$B$11&gt;=N46,"Partially eligible","Not yet"))</f>
        <v>Fully eligible</v>
      </c>
      <c r="R46" s="11"/>
      <c r="S46" s="11"/>
      <c r="T46" s="11"/>
      <c r="U46" s="12" t="str">
        <f aca="false">IF(OR(R46="",S46=""),"",S46-R46-T46)</f>
        <v/>
      </c>
      <c r="V46" s="13"/>
    </row>
    <row r="47" customFormat="false" ht="30" hidden="false" customHeight="true" outlineLevel="0" collapsed="false">
      <c r="A47" s="6" t="n">
        <v>42</v>
      </c>
      <c r="B47" s="7" t="s">
        <v>244</v>
      </c>
      <c r="C47" s="7" t="s">
        <v>251</v>
      </c>
      <c r="D47" s="8" t="s">
        <v>252</v>
      </c>
      <c r="E47" s="8" t="s">
        <v>253</v>
      </c>
      <c r="F47" s="6" t="n">
        <v>1988</v>
      </c>
      <c r="G47" s="6" t="n">
        <v>1996</v>
      </c>
      <c r="H47" s="9" t="s">
        <v>254</v>
      </c>
      <c r="I47" s="9" t="s">
        <v>255</v>
      </c>
      <c r="J47" s="9" t="s">
        <v>256</v>
      </c>
      <c r="K47" s="6" t="n">
        <v>4</v>
      </c>
      <c r="L47" s="10" t="n">
        <f aca="false">F47+Rules!$B$5</f>
        <v>2018</v>
      </c>
      <c r="M47" s="10" t="n">
        <f aca="false">G47+Rules!$B$5</f>
        <v>2026</v>
      </c>
      <c r="N47" s="10" t="n">
        <f aca="false">F47+Rules!$B$6</f>
        <v>2008</v>
      </c>
      <c r="O47" s="10" t="n">
        <f aca="false">MIN(G47,Rules!$B$11-Rules!$B$5)</f>
        <v>1996</v>
      </c>
      <c r="P47" s="6" t="str">
        <f aca="false">IF(Rules!$B$11&gt;=M47,"Fully eligible",IF(Rules!$B$11&gt;=L47,"Partially eligible","Not yet"))</f>
        <v>Fully eligible</v>
      </c>
      <c r="Q47" s="6" t="str">
        <f aca="false">IF(Rules!$B$11&gt;=G47+Rules!$B$6,"Fully eligible",IF(Rules!$B$11&gt;=N47,"Partially eligible","Not yet"))</f>
        <v>Fully eligible</v>
      </c>
      <c r="R47" s="11"/>
      <c r="S47" s="11"/>
      <c r="T47" s="11"/>
      <c r="U47" s="12" t="str">
        <f aca="false">IF(OR(R47="",S47=""),"",S47-R47-T47)</f>
        <v/>
      </c>
      <c r="V47" s="13"/>
    </row>
    <row r="48" customFormat="false" ht="30" hidden="false" customHeight="true" outlineLevel="0" collapsed="false">
      <c r="A48" s="6" t="n">
        <v>43</v>
      </c>
      <c r="B48" s="7" t="s">
        <v>244</v>
      </c>
      <c r="C48" s="7" t="s">
        <v>245</v>
      </c>
      <c r="D48" s="8" t="s">
        <v>257</v>
      </c>
      <c r="E48" s="8" t="s">
        <v>258</v>
      </c>
      <c r="F48" s="6" t="n">
        <v>1990</v>
      </c>
      <c r="G48" s="6" t="n">
        <v>1998</v>
      </c>
      <c r="H48" s="9" t="s">
        <v>259</v>
      </c>
      <c r="I48" s="9" t="s">
        <v>260</v>
      </c>
      <c r="J48" s="9" t="s">
        <v>261</v>
      </c>
      <c r="K48" s="6" t="n">
        <v>4</v>
      </c>
      <c r="L48" s="10" t="n">
        <f aca="false">F48+Rules!$B$5</f>
        <v>2020</v>
      </c>
      <c r="M48" s="10" t="n">
        <f aca="false">G48+Rules!$B$5</f>
        <v>2028</v>
      </c>
      <c r="N48" s="10" t="n">
        <f aca="false">F48+Rules!$B$6</f>
        <v>2010</v>
      </c>
      <c r="O48" s="10" t="n">
        <f aca="false">MIN(G48,Rules!$B$11-Rules!$B$5)</f>
        <v>1996</v>
      </c>
      <c r="P48" s="6" t="str">
        <f aca="false">IF(Rules!$B$11&gt;=M48,"Fully eligible",IF(Rules!$B$11&gt;=L48,"Partially eligible","Not yet"))</f>
        <v>Partially eligible</v>
      </c>
      <c r="Q48" s="6" t="str">
        <f aca="false">IF(Rules!$B$11&gt;=G48+Rules!$B$6,"Fully eligible",IF(Rules!$B$11&gt;=N48,"Partially eligible","Not yet"))</f>
        <v>Fully eligible</v>
      </c>
      <c r="R48" s="11"/>
      <c r="S48" s="11"/>
      <c r="T48" s="11"/>
      <c r="U48" s="12" t="str">
        <f aca="false">IF(OR(R48="",S48=""),"",S48-R48-T48)</f>
        <v/>
      </c>
      <c r="V48" s="13"/>
    </row>
    <row r="49" customFormat="false" ht="30" hidden="false" customHeight="true" outlineLevel="0" collapsed="false">
      <c r="A49" s="6" t="n">
        <v>44</v>
      </c>
      <c r="B49" s="7" t="s">
        <v>262</v>
      </c>
      <c r="C49" s="7" t="s">
        <v>263</v>
      </c>
      <c r="D49" s="8" t="s">
        <v>264</v>
      </c>
      <c r="E49" s="8" t="s">
        <v>99</v>
      </c>
      <c r="F49" s="6" t="n">
        <v>1978</v>
      </c>
      <c r="G49" s="6" t="n">
        <v>1998</v>
      </c>
      <c r="H49" s="9" t="s">
        <v>265</v>
      </c>
      <c r="I49" s="9" t="s">
        <v>266</v>
      </c>
      <c r="J49" s="9" t="s">
        <v>267</v>
      </c>
      <c r="K49" s="6" t="n">
        <v>4</v>
      </c>
      <c r="L49" s="10" t="n">
        <f aca="false">F49+Rules!$B$5</f>
        <v>2008</v>
      </c>
      <c r="M49" s="10" t="n">
        <f aca="false">G49+Rules!$B$5</f>
        <v>2028</v>
      </c>
      <c r="N49" s="10" t="n">
        <f aca="false">F49+Rules!$B$6</f>
        <v>1998</v>
      </c>
      <c r="O49" s="10" t="n">
        <f aca="false">MIN(G49,Rules!$B$11-Rules!$B$5)</f>
        <v>1996</v>
      </c>
      <c r="P49" s="6" t="str">
        <f aca="false">IF(Rules!$B$11&gt;=M49,"Fully eligible",IF(Rules!$B$11&gt;=L49,"Partially eligible","Not yet"))</f>
        <v>Partially eligible</v>
      </c>
      <c r="Q49" s="6" t="str">
        <f aca="false">IF(Rules!$B$11&gt;=G49+Rules!$B$6,"Fully eligible",IF(Rules!$B$11&gt;=N49,"Partially eligible","Not yet"))</f>
        <v>Fully eligible</v>
      </c>
      <c r="R49" s="11"/>
      <c r="S49" s="11"/>
      <c r="T49" s="11"/>
      <c r="U49" s="12" t="str">
        <f aca="false">IF(OR(R49="",S49=""),"",S49-R49-T49)</f>
        <v/>
      </c>
      <c r="V49" s="13"/>
    </row>
    <row r="50" customFormat="false" ht="30" hidden="false" customHeight="true" outlineLevel="0" collapsed="false">
      <c r="A50" s="6" t="n">
        <v>45</v>
      </c>
      <c r="B50" s="7" t="s">
        <v>268</v>
      </c>
      <c r="C50" s="7" t="s">
        <v>269</v>
      </c>
      <c r="D50" s="8" t="s">
        <v>128</v>
      </c>
      <c r="E50" s="8" t="s">
        <v>99</v>
      </c>
      <c r="F50" s="6" t="n">
        <v>1984</v>
      </c>
      <c r="G50" s="6" t="n">
        <v>1995</v>
      </c>
      <c r="H50" s="9" t="s">
        <v>270</v>
      </c>
      <c r="I50" s="9" t="s">
        <v>271</v>
      </c>
      <c r="J50" s="9" t="s">
        <v>143</v>
      </c>
      <c r="K50" s="6" t="n">
        <v>3</v>
      </c>
      <c r="L50" s="10" t="n">
        <f aca="false">F50+Rules!$B$5</f>
        <v>2014</v>
      </c>
      <c r="M50" s="10" t="n">
        <f aca="false">G50+Rules!$B$5</f>
        <v>2025</v>
      </c>
      <c r="N50" s="10" t="n">
        <f aca="false">F50+Rules!$B$6</f>
        <v>2004</v>
      </c>
      <c r="O50" s="10" t="n">
        <f aca="false">MIN(G50,Rules!$B$11-Rules!$B$5)</f>
        <v>1995</v>
      </c>
      <c r="P50" s="6" t="str">
        <f aca="false">IF(Rules!$B$11&gt;=M50,"Fully eligible",IF(Rules!$B$11&gt;=L50,"Partially eligible","Not yet"))</f>
        <v>Fully eligible</v>
      </c>
      <c r="Q50" s="6" t="str">
        <f aca="false">IF(Rules!$B$11&gt;=G50+Rules!$B$6,"Fully eligible",IF(Rules!$B$11&gt;=N50,"Partially eligible","Not yet"))</f>
        <v>Fully eligible</v>
      </c>
      <c r="R50" s="11"/>
      <c r="S50" s="11"/>
      <c r="T50" s="11"/>
      <c r="U50" s="12" t="str">
        <f aca="false">IF(OR(R50="",S50=""),"",S50-R50-T50)</f>
        <v/>
      </c>
      <c r="V50" s="13"/>
    </row>
    <row r="51" customFormat="false" ht="30" hidden="false" customHeight="true" outlineLevel="0" collapsed="false">
      <c r="A51" s="6" t="n">
        <v>46</v>
      </c>
      <c r="B51" s="7" t="s">
        <v>272</v>
      </c>
      <c r="C51" s="7" t="s">
        <v>273</v>
      </c>
      <c r="D51" s="8" t="s">
        <v>128</v>
      </c>
      <c r="E51" s="8" t="s">
        <v>274</v>
      </c>
      <c r="F51" s="6" t="n">
        <v>1982</v>
      </c>
      <c r="G51" s="6" t="n">
        <v>1994</v>
      </c>
      <c r="H51" s="9" t="s">
        <v>275</v>
      </c>
      <c r="I51" s="9" t="s">
        <v>216</v>
      </c>
      <c r="J51" s="9" t="s">
        <v>143</v>
      </c>
      <c r="K51" s="6" t="n">
        <v>3</v>
      </c>
      <c r="L51" s="10" t="n">
        <f aca="false">F51+Rules!$B$5</f>
        <v>2012</v>
      </c>
      <c r="M51" s="10" t="n">
        <f aca="false">G51+Rules!$B$5</f>
        <v>2024</v>
      </c>
      <c r="N51" s="10" t="n">
        <f aca="false">F51+Rules!$B$6</f>
        <v>2002</v>
      </c>
      <c r="O51" s="10" t="n">
        <f aca="false">MIN(G51,Rules!$B$11-Rules!$B$5)</f>
        <v>1994</v>
      </c>
      <c r="P51" s="6" t="str">
        <f aca="false">IF(Rules!$B$11&gt;=M51,"Fully eligible",IF(Rules!$B$11&gt;=L51,"Partially eligible","Not yet"))</f>
        <v>Fully eligible</v>
      </c>
      <c r="Q51" s="6" t="str">
        <f aca="false">IF(Rules!$B$11&gt;=G51+Rules!$B$6,"Fully eligible",IF(Rules!$B$11&gt;=N51,"Partially eligible","Not yet"))</f>
        <v>Fully eligible</v>
      </c>
      <c r="R51" s="11"/>
      <c r="S51" s="11"/>
      <c r="T51" s="11"/>
      <c r="U51" s="12" t="str">
        <f aca="false">IF(OR(R51="",S51=""),"",S51-R51-T51)</f>
        <v/>
      </c>
      <c r="V51" s="13"/>
    </row>
    <row r="52" customFormat="false" ht="30" hidden="false" customHeight="true" outlineLevel="0" collapsed="false">
      <c r="A52" s="6" t="n">
        <v>47</v>
      </c>
      <c r="B52" s="7" t="s">
        <v>276</v>
      </c>
      <c r="C52" s="7" t="s">
        <v>277</v>
      </c>
      <c r="D52" s="8" t="s">
        <v>278</v>
      </c>
      <c r="E52" s="8" t="s">
        <v>57</v>
      </c>
      <c r="F52" s="6" t="n">
        <v>1983</v>
      </c>
      <c r="G52" s="6" t="n">
        <v>1998</v>
      </c>
      <c r="H52" s="9" t="s">
        <v>279</v>
      </c>
      <c r="I52" s="9" t="s">
        <v>280</v>
      </c>
      <c r="J52" s="9" t="s">
        <v>281</v>
      </c>
      <c r="K52" s="6" t="n">
        <v>4</v>
      </c>
      <c r="L52" s="10" t="n">
        <f aca="false">F52+Rules!$B$5</f>
        <v>2013</v>
      </c>
      <c r="M52" s="10" t="n">
        <f aca="false">G52+Rules!$B$5</f>
        <v>2028</v>
      </c>
      <c r="N52" s="10" t="n">
        <f aca="false">F52+Rules!$B$6</f>
        <v>2003</v>
      </c>
      <c r="O52" s="10" t="n">
        <f aca="false">MIN(G52,Rules!$B$11-Rules!$B$5)</f>
        <v>1996</v>
      </c>
      <c r="P52" s="6" t="str">
        <f aca="false">IF(Rules!$B$11&gt;=M52,"Fully eligible",IF(Rules!$B$11&gt;=L52,"Partially eligible","Not yet"))</f>
        <v>Partially eligible</v>
      </c>
      <c r="Q52" s="6" t="str">
        <f aca="false">IF(Rules!$B$11&gt;=G52+Rules!$B$6,"Fully eligible",IF(Rules!$B$11&gt;=N52,"Partially eligible","Not yet"))</f>
        <v>Fully eligible</v>
      </c>
      <c r="R52" s="11"/>
      <c r="S52" s="11"/>
      <c r="T52" s="11"/>
      <c r="U52" s="12" t="str">
        <f aca="false">IF(OR(R52="",S52=""),"",S52-R52-T52)</f>
        <v/>
      </c>
      <c r="V52" s="13"/>
    </row>
    <row r="53" customFormat="false" ht="30" hidden="false" customHeight="true" outlineLevel="0" collapsed="false">
      <c r="A53" s="6" t="n">
        <v>48</v>
      </c>
      <c r="B53" s="7" t="s">
        <v>282</v>
      </c>
      <c r="C53" s="7" t="s">
        <v>283</v>
      </c>
      <c r="D53" s="8" t="s">
        <v>284</v>
      </c>
      <c r="E53" s="8" t="s">
        <v>57</v>
      </c>
      <c r="F53" s="6" t="n">
        <v>1977</v>
      </c>
      <c r="G53" s="6" t="n">
        <v>2026</v>
      </c>
      <c r="H53" s="9" t="s">
        <v>285</v>
      </c>
      <c r="I53" s="9" t="s">
        <v>286</v>
      </c>
      <c r="J53" s="9" t="s">
        <v>287</v>
      </c>
      <c r="K53" s="6" t="n">
        <v>3</v>
      </c>
      <c r="L53" s="10" t="n">
        <f aca="false">F53+Rules!$B$5</f>
        <v>2007</v>
      </c>
      <c r="M53" s="10" t="n">
        <f aca="false">G53+Rules!$B$5</f>
        <v>2056</v>
      </c>
      <c r="N53" s="10" t="n">
        <f aca="false">F53+Rules!$B$6</f>
        <v>1997</v>
      </c>
      <c r="O53" s="10" t="n">
        <f aca="false">MIN(G53,Rules!$B$11-Rules!$B$5)</f>
        <v>1996</v>
      </c>
      <c r="P53" s="6" t="str">
        <f aca="false">IF(Rules!$B$11&gt;=M53,"Fully eligible",IF(Rules!$B$11&gt;=L53,"Partially eligible","Not yet"))</f>
        <v>Partially eligible</v>
      </c>
      <c r="Q53" s="6" t="str">
        <f aca="false">IF(Rules!$B$11&gt;=G53+Rules!$B$6,"Fully eligible",IF(Rules!$B$11&gt;=N53,"Partially eligible","Not yet"))</f>
        <v>Partially eligible</v>
      </c>
      <c r="R53" s="11"/>
      <c r="S53" s="11"/>
      <c r="T53" s="11"/>
      <c r="U53" s="12" t="str">
        <f aca="false">IF(OR(R53="",S53=""),"",S53-R53-T53)</f>
        <v/>
      </c>
      <c r="V53" s="13"/>
    </row>
    <row r="54" customFormat="false" ht="30" hidden="false" customHeight="true" outlineLevel="0" collapsed="false">
      <c r="A54" s="6" t="n">
        <v>49</v>
      </c>
      <c r="B54" s="7" t="s">
        <v>288</v>
      </c>
      <c r="C54" s="7" t="s">
        <v>289</v>
      </c>
      <c r="D54" s="8" t="s">
        <v>290</v>
      </c>
      <c r="E54" s="8" t="s">
        <v>110</v>
      </c>
      <c r="F54" s="6" t="n">
        <v>1984</v>
      </c>
      <c r="G54" s="6" t="n">
        <v>1994</v>
      </c>
      <c r="H54" s="9" t="s">
        <v>291</v>
      </c>
      <c r="I54" s="9" t="s">
        <v>292</v>
      </c>
      <c r="J54" s="9" t="s">
        <v>293</v>
      </c>
      <c r="K54" s="6" t="n">
        <v>4</v>
      </c>
      <c r="L54" s="10" t="n">
        <f aca="false">F54+Rules!$B$5</f>
        <v>2014</v>
      </c>
      <c r="M54" s="10" t="n">
        <f aca="false">G54+Rules!$B$5</f>
        <v>2024</v>
      </c>
      <c r="N54" s="10" t="n">
        <f aca="false">F54+Rules!$B$6</f>
        <v>2004</v>
      </c>
      <c r="O54" s="10" t="n">
        <f aca="false">MIN(G54,Rules!$B$11-Rules!$B$5)</f>
        <v>1994</v>
      </c>
      <c r="P54" s="6" t="str">
        <f aca="false">IF(Rules!$B$11&gt;=M54,"Fully eligible",IF(Rules!$B$11&gt;=L54,"Partially eligible","Not yet"))</f>
        <v>Fully eligible</v>
      </c>
      <c r="Q54" s="6" t="str">
        <f aca="false">IF(Rules!$B$11&gt;=G54+Rules!$B$6,"Fully eligible",IF(Rules!$B$11&gt;=N54,"Partially eligible","Not yet"))</f>
        <v>Fully eligible</v>
      </c>
      <c r="R54" s="11"/>
      <c r="S54" s="11"/>
      <c r="T54" s="11"/>
      <c r="U54" s="12" t="str">
        <f aca="false">IF(OR(R54="",S54=""),"",S54-R54-T54)</f>
        <v/>
      </c>
      <c r="V54" s="13"/>
    </row>
    <row r="55" customFormat="false" ht="30" hidden="false" customHeight="true" outlineLevel="0" collapsed="false">
      <c r="A55" s="6" t="n">
        <v>50</v>
      </c>
      <c r="B55" s="7" t="s">
        <v>288</v>
      </c>
      <c r="C55" s="7" t="s">
        <v>294</v>
      </c>
      <c r="D55" s="8" t="s">
        <v>294</v>
      </c>
      <c r="E55" s="8" t="s">
        <v>110</v>
      </c>
      <c r="F55" s="6" t="n">
        <v>1982</v>
      </c>
      <c r="G55" s="6" t="n">
        <v>1995</v>
      </c>
      <c r="H55" s="9" t="s">
        <v>295</v>
      </c>
      <c r="I55" s="9" t="s">
        <v>296</v>
      </c>
      <c r="J55" s="9" t="s">
        <v>297</v>
      </c>
      <c r="K55" s="6" t="n">
        <v>4</v>
      </c>
      <c r="L55" s="10" t="n">
        <f aca="false">F55+Rules!$B$5</f>
        <v>2012</v>
      </c>
      <c r="M55" s="10" t="n">
        <f aca="false">G55+Rules!$B$5</f>
        <v>2025</v>
      </c>
      <c r="N55" s="10" t="n">
        <f aca="false">F55+Rules!$B$6</f>
        <v>2002</v>
      </c>
      <c r="O55" s="10" t="n">
        <f aca="false">MIN(G55,Rules!$B$11-Rules!$B$5)</f>
        <v>1995</v>
      </c>
      <c r="P55" s="6" t="str">
        <f aca="false">IF(Rules!$B$11&gt;=M55,"Fully eligible",IF(Rules!$B$11&gt;=L55,"Partially eligible","Not yet"))</f>
        <v>Fully eligible</v>
      </c>
      <c r="Q55" s="6" t="str">
        <f aca="false">IF(Rules!$B$11&gt;=G55+Rules!$B$6,"Fully eligible",IF(Rules!$B$11&gt;=N55,"Partially eligible","Not yet"))</f>
        <v>Fully eligible</v>
      </c>
      <c r="R55" s="11"/>
      <c r="S55" s="11"/>
      <c r="T55" s="11"/>
      <c r="U55" s="12" t="str">
        <f aca="false">IF(OR(R55="",S55=""),"",S55-R55-T55)</f>
        <v/>
      </c>
      <c r="V55" s="13"/>
    </row>
    <row r="56" customFormat="false" ht="30" hidden="false" customHeight="true" outlineLevel="0" collapsed="false">
      <c r="A56" s="6" t="n">
        <v>51</v>
      </c>
      <c r="B56" s="7" t="s">
        <v>85</v>
      </c>
      <c r="C56" s="7" t="s">
        <v>298</v>
      </c>
      <c r="D56" s="8" t="s">
        <v>299</v>
      </c>
      <c r="E56" s="8" t="s">
        <v>300</v>
      </c>
      <c r="F56" s="6" t="n">
        <v>1999</v>
      </c>
      <c r="G56" s="6" t="n">
        <v>2011</v>
      </c>
      <c r="H56" s="9" t="s">
        <v>301</v>
      </c>
      <c r="I56" s="9" t="s">
        <v>302</v>
      </c>
      <c r="J56" s="9" t="s">
        <v>303</v>
      </c>
      <c r="K56" s="6" t="n">
        <v>5</v>
      </c>
      <c r="L56" s="10" t="n">
        <f aca="false">F56+Rules!$B$5</f>
        <v>2029</v>
      </c>
      <c r="M56" s="10" t="n">
        <f aca="false">G56+Rules!$B$5</f>
        <v>2041</v>
      </c>
      <c r="N56" s="10" t="n">
        <f aca="false">F56+Rules!$B$6</f>
        <v>2019</v>
      </c>
      <c r="O56" s="10" t="n">
        <f aca="false">MIN(G56,Rules!$B$11-Rules!$B$5)</f>
        <v>1996</v>
      </c>
      <c r="P56" s="6" t="str">
        <f aca="false">IF(Rules!$B$11&gt;=M56,"Fully eligible",IF(Rules!$B$11&gt;=L56,"Partially eligible","Not yet"))</f>
        <v>Not yet</v>
      </c>
      <c r="Q56" s="6" t="str">
        <f aca="false">IF(Rules!$B$11&gt;=G56+Rules!$B$6,"Fully eligible",IF(Rules!$B$11&gt;=N56,"Partially eligible","Not yet"))</f>
        <v>Partially eligible</v>
      </c>
      <c r="R56" s="11"/>
      <c r="S56" s="11"/>
      <c r="T56" s="11"/>
      <c r="U56" s="12" t="str">
        <f aca="false">IF(OR(R56="",S56=""),"",S56-R56-T56)</f>
        <v/>
      </c>
      <c r="V56" s="13"/>
    </row>
    <row r="57" customFormat="false" ht="30" hidden="false" customHeight="true" outlineLevel="0" collapsed="false">
      <c r="A57" s="6" t="n">
        <v>52</v>
      </c>
      <c r="B57" s="7" t="s">
        <v>85</v>
      </c>
      <c r="C57" s="7" t="s">
        <v>304</v>
      </c>
      <c r="D57" s="8" t="s">
        <v>305</v>
      </c>
      <c r="E57" s="8" t="s">
        <v>300</v>
      </c>
      <c r="F57" s="6" t="n">
        <v>2005</v>
      </c>
      <c r="G57" s="6" t="n">
        <v>2011</v>
      </c>
      <c r="H57" s="9" t="s">
        <v>306</v>
      </c>
      <c r="I57" s="9" t="s">
        <v>307</v>
      </c>
      <c r="J57" s="9" t="s">
        <v>308</v>
      </c>
      <c r="K57" s="6" t="n">
        <v>4</v>
      </c>
      <c r="L57" s="10" t="n">
        <f aca="false">F57+Rules!$B$5</f>
        <v>2035</v>
      </c>
      <c r="M57" s="10" t="n">
        <f aca="false">G57+Rules!$B$5</f>
        <v>2041</v>
      </c>
      <c r="N57" s="10" t="n">
        <f aca="false">F57+Rules!$B$6</f>
        <v>2025</v>
      </c>
      <c r="O57" s="10" t="n">
        <f aca="false">MIN(G57,Rules!$B$11-Rules!$B$5)</f>
        <v>1996</v>
      </c>
      <c r="P57" s="6" t="str">
        <f aca="false">IF(Rules!$B$11&gt;=M57,"Fully eligible",IF(Rules!$B$11&gt;=L57,"Partially eligible","Not yet"))</f>
        <v>Not yet</v>
      </c>
      <c r="Q57" s="6" t="str">
        <f aca="false">IF(Rules!$B$11&gt;=G57+Rules!$B$6,"Fully eligible",IF(Rules!$B$11&gt;=N57,"Partially eligible","Not yet"))</f>
        <v>Partially eligible</v>
      </c>
      <c r="R57" s="11"/>
      <c r="S57" s="11"/>
      <c r="T57" s="11"/>
      <c r="U57" s="12" t="str">
        <f aca="false">IF(OR(R57="",S57=""),"",S57-R57-T57)</f>
        <v/>
      </c>
      <c r="V57" s="13"/>
    </row>
    <row r="58" customFormat="false" ht="30" hidden="false" customHeight="true" outlineLevel="0" collapsed="false">
      <c r="A58" s="6" t="n">
        <v>53</v>
      </c>
      <c r="B58" s="7" t="s">
        <v>170</v>
      </c>
      <c r="C58" s="7" t="s">
        <v>309</v>
      </c>
      <c r="D58" s="8" t="s">
        <v>310</v>
      </c>
      <c r="E58" s="8" t="s">
        <v>300</v>
      </c>
      <c r="F58" s="6" t="n">
        <v>2005</v>
      </c>
      <c r="G58" s="6" t="n">
        <v>2010</v>
      </c>
      <c r="H58" s="9" t="s">
        <v>311</v>
      </c>
      <c r="I58" s="9" t="s">
        <v>312</v>
      </c>
      <c r="J58" s="9" t="s">
        <v>313</v>
      </c>
      <c r="K58" s="6" t="n">
        <v>4</v>
      </c>
      <c r="L58" s="10" t="n">
        <f aca="false">F58+Rules!$B$5</f>
        <v>2035</v>
      </c>
      <c r="M58" s="10" t="n">
        <f aca="false">G58+Rules!$B$5</f>
        <v>2040</v>
      </c>
      <c r="N58" s="10" t="n">
        <f aca="false">F58+Rules!$B$6</f>
        <v>2025</v>
      </c>
      <c r="O58" s="10" t="n">
        <f aca="false">MIN(G58,Rules!$B$11-Rules!$B$5)</f>
        <v>1996</v>
      </c>
      <c r="P58" s="6" t="str">
        <f aca="false">IF(Rules!$B$11&gt;=M58,"Fully eligible",IF(Rules!$B$11&gt;=L58,"Partially eligible","Not yet"))</f>
        <v>Not yet</v>
      </c>
      <c r="Q58" s="6" t="str">
        <f aca="false">IF(Rules!$B$11&gt;=G58+Rules!$B$6,"Fully eligible",IF(Rules!$B$11&gt;=N58,"Partially eligible","Not yet"))</f>
        <v>Partially eligible</v>
      </c>
      <c r="R58" s="11"/>
      <c r="S58" s="11"/>
      <c r="T58" s="11"/>
      <c r="U58" s="12" t="str">
        <f aca="false">IF(OR(R58="",S58=""),"",S58-R58-T58)</f>
        <v/>
      </c>
      <c r="V58" s="13"/>
    </row>
    <row r="59" customFormat="false" ht="30" hidden="false" customHeight="true" outlineLevel="0" collapsed="false">
      <c r="A59" s="6" t="n">
        <v>54</v>
      </c>
      <c r="B59" s="7" t="s">
        <v>170</v>
      </c>
      <c r="C59" s="7" t="s">
        <v>314</v>
      </c>
      <c r="D59" s="8" t="s">
        <v>315</v>
      </c>
      <c r="E59" s="8" t="s">
        <v>300</v>
      </c>
      <c r="F59" s="6" t="n">
        <v>1998</v>
      </c>
      <c r="G59" s="6" t="n">
        <v>2008</v>
      </c>
      <c r="H59" s="9" t="s">
        <v>316</v>
      </c>
      <c r="I59" s="9" t="s">
        <v>317</v>
      </c>
      <c r="J59" s="9" t="s">
        <v>143</v>
      </c>
      <c r="K59" s="6" t="n">
        <v>4</v>
      </c>
      <c r="L59" s="10" t="n">
        <f aca="false">F59+Rules!$B$5</f>
        <v>2028</v>
      </c>
      <c r="M59" s="10" t="n">
        <f aca="false">G59+Rules!$B$5</f>
        <v>2038</v>
      </c>
      <c r="N59" s="10" t="n">
        <f aca="false">F59+Rules!$B$6</f>
        <v>2018</v>
      </c>
      <c r="O59" s="10" t="n">
        <f aca="false">MIN(G59,Rules!$B$11-Rules!$B$5)</f>
        <v>1996</v>
      </c>
      <c r="P59" s="6" t="str">
        <f aca="false">IF(Rules!$B$11&gt;=M59,"Fully eligible",IF(Rules!$B$11&gt;=L59,"Partially eligible","Not yet"))</f>
        <v>Not yet</v>
      </c>
      <c r="Q59" s="6" t="str">
        <f aca="false">IF(Rules!$B$11&gt;=G59+Rules!$B$6,"Fully eligible",IF(Rules!$B$11&gt;=N59,"Partially eligible","Not yet"))</f>
        <v>Partially eligible</v>
      </c>
      <c r="R59" s="11"/>
      <c r="S59" s="11"/>
      <c r="T59" s="11"/>
      <c r="U59" s="12" t="str">
        <f aca="false">IF(OR(R59="",S59=""),"",S59-R59-T59)</f>
        <v/>
      </c>
      <c r="V59" s="13"/>
    </row>
    <row r="60" customFormat="false" ht="30" hidden="false" customHeight="true" outlineLevel="0" collapsed="false">
      <c r="A60" s="6" t="n">
        <v>55</v>
      </c>
      <c r="B60" s="7" t="s">
        <v>126</v>
      </c>
      <c r="C60" s="7" t="s">
        <v>318</v>
      </c>
      <c r="D60" s="8" t="s">
        <v>319</v>
      </c>
      <c r="E60" s="8" t="s">
        <v>300</v>
      </c>
      <c r="F60" s="6" t="n">
        <v>2002</v>
      </c>
      <c r="G60" s="6" t="n">
        <v>2011</v>
      </c>
      <c r="H60" s="9" t="s">
        <v>320</v>
      </c>
      <c r="I60" s="9" t="s">
        <v>321</v>
      </c>
      <c r="J60" s="9" t="s">
        <v>322</v>
      </c>
      <c r="K60" s="6" t="n">
        <v>5</v>
      </c>
      <c r="L60" s="10" t="n">
        <f aca="false">F60+Rules!$B$5</f>
        <v>2032</v>
      </c>
      <c r="M60" s="10" t="n">
        <f aca="false">G60+Rules!$B$5</f>
        <v>2041</v>
      </c>
      <c r="N60" s="10" t="n">
        <f aca="false">F60+Rules!$B$6</f>
        <v>2022</v>
      </c>
      <c r="O60" s="10" t="n">
        <f aca="false">MIN(G60,Rules!$B$11-Rules!$B$5)</f>
        <v>1996</v>
      </c>
      <c r="P60" s="6" t="str">
        <f aca="false">IF(Rules!$B$11&gt;=M60,"Fully eligible",IF(Rules!$B$11&gt;=L60,"Partially eligible","Not yet"))</f>
        <v>Not yet</v>
      </c>
      <c r="Q60" s="6" t="str">
        <f aca="false">IF(Rules!$B$11&gt;=G60+Rules!$B$6,"Fully eligible",IF(Rules!$B$11&gt;=N60,"Partially eligible","Not yet"))</f>
        <v>Partially eligible</v>
      </c>
      <c r="R60" s="11"/>
      <c r="S60" s="11"/>
      <c r="T60" s="11"/>
      <c r="U60" s="12" t="str">
        <f aca="false">IF(OR(R60="",S60=""),"",S60-R60-T60)</f>
        <v/>
      </c>
      <c r="V60" s="13"/>
    </row>
    <row r="61" customFormat="false" ht="30" hidden="false" customHeight="true" outlineLevel="0" collapsed="false">
      <c r="A61" s="6" t="n">
        <v>56</v>
      </c>
      <c r="B61" s="7" t="s">
        <v>176</v>
      </c>
      <c r="C61" s="7" t="s">
        <v>323</v>
      </c>
      <c r="D61" s="8" t="s">
        <v>324</v>
      </c>
      <c r="E61" s="8" t="s">
        <v>300</v>
      </c>
      <c r="F61" s="6" t="n">
        <v>1998</v>
      </c>
      <c r="G61" s="6" t="n">
        <v>2010</v>
      </c>
      <c r="H61" s="9" t="s">
        <v>325</v>
      </c>
      <c r="I61" s="9" t="s">
        <v>326</v>
      </c>
      <c r="J61" s="9" t="s">
        <v>327</v>
      </c>
      <c r="K61" s="6" t="n">
        <v>4</v>
      </c>
      <c r="L61" s="10" t="n">
        <f aca="false">F61+Rules!$B$5</f>
        <v>2028</v>
      </c>
      <c r="M61" s="10" t="n">
        <f aca="false">G61+Rules!$B$5</f>
        <v>2040</v>
      </c>
      <c r="N61" s="10" t="n">
        <f aca="false">F61+Rules!$B$6</f>
        <v>2018</v>
      </c>
      <c r="O61" s="10" t="n">
        <f aca="false">MIN(G61,Rules!$B$11-Rules!$B$5)</f>
        <v>1996</v>
      </c>
      <c r="P61" s="6" t="str">
        <f aca="false">IF(Rules!$B$11&gt;=M61,"Fully eligible",IF(Rules!$B$11&gt;=L61,"Partially eligible","Not yet"))</f>
        <v>Not yet</v>
      </c>
      <c r="Q61" s="6" t="str">
        <f aca="false">IF(Rules!$B$11&gt;=G61+Rules!$B$6,"Fully eligible",IF(Rules!$B$11&gt;=N61,"Partially eligible","Not yet"))</f>
        <v>Partially eligible</v>
      </c>
      <c r="R61" s="11"/>
      <c r="S61" s="11"/>
      <c r="T61" s="11"/>
      <c r="U61" s="12" t="str">
        <f aca="false">IF(OR(R61="",S61=""),"",S61-R61-T61)</f>
        <v/>
      </c>
      <c r="V61" s="13"/>
    </row>
    <row r="62" customFormat="false" ht="30" hidden="false" customHeight="true" outlineLevel="0" collapsed="false">
      <c r="A62" s="6" t="n">
        <v>57</v>
      </c>
      <c r="B62" s="7" t="s">
        <v>207</v>
      </c>
      <c r="C62" s="7" t="s">
        <v>328</v>
      </c>
      <c r="D62" s="8" t="s">
        <v>329</v>
      </c>
      <c r="E62" s="8" t="s">
        <v>330</v>
      </c>
      <c r="F62" s="6" t="n">
        <v>2003</v>
      </c>
      <c r="G62" s="6" t="n">
        <v>2011</v>
      </c>
      <c r="H62" s="9" t="s">
        <v>331</v>
      </c>
      <c r="I62" s="9" t="s">
        <v>332</v>
      </c>
      <c r="J62" s="9" t="s">
        <v>333</v>
      </c>
      <c r="K62" s="6" t="n">
        <v>4</v>
      </c>
      <c r="L62" s="10" t="n">
        <f aca="false">F62+Rules!$B$5</f>
        <v>2033</v>
      </c>
      <c r="M62" s="10" t="n">
        <f aca="false">G62+Rules!$B$5</f>
        <v>2041</v>
      </c>
      <c r="N62" s="10" t="n">
        <f aca="false">F62+Rules!$B$6</f>
        <v>2023</v>
      </c>
      <c r="O62" s="10" t="n">
        <f aca="false">MIN(G62,Rules!$B$11-Rules!$B$5)</f>
        <v>1996</v>
      </c>
      <c r="P62" s="6" t="str">
        <f aca="false">IF(Rules!$B$11&gt;=M62,"Fully eligible",IF(Rules!$B$11&gt;=L62,"Partially eligible","Not yet"))</f>
        <v>Not yet</v>
      </c>
      <c r="Q62" s="6" t="str">
        <f aca="false">IF(Rules!$B$11&gt;=G62+Rules!$B$6,"Fully eligible",IF(Rules!$B$11&gt;=N62,"Partially eligible","Not yet"))</f>
        <v>Partially eligible</v>
      </c>
      <c r="R62" s="11"/>
      <c r="S62" s="11"/>
      <c r="T62" s="11"/>
      <c r="U62" s="12" t="str">
        <f aca="false">IF(OR(R62="",S62=""),"",S62-R62-T62)</f>
        <v/>
      </c>
      <c r="V62" s="13"/>
    </row>
    <row r="63" customFormat="false" ht="30" hidden="false" customHeight="true" outlineLevel="0" collapsed="false">
      <c r="A63" s="6" t="n">
        <v>58</v>
      </c>
      <c r="B63" s="7" t="s">
        <v>334</v>
      </c>
      <c r="C63" s="7" t="s">
        <v>335</v>
      </c>
      <c r="D63" s="8" t="s">
        <v>336</v>
      </c>
      <c r="E63" s="8" t="s">
        <v>337</v>
      </c>
      <c r="F63" s="6" t="n">
        <v>1999</v>
      </c>
      <c r="G63" s="6" t="n">
        <v>2007</v>
      </c>
      <c r="H63" s="9" t="s">
        <v>338</v>
      </c>
      <c r="I63" s="9" t="s">
        <v>339</v>
      </c>
      <c r="J63" s="9" t="s">
        <v>340</v>
      </c>
      <c r="K63" s="6" t="n">
        <v>4</v>
      </c>
      <c r="L63" s="10" t="n">
        <f aca="false">F63+Rules!$B$5</f>
        <v>2029</v>
      </c>
      <c r="M63" s="10" t="n">
        <f aca="false">G63+Rules!$B$5</f>
        <v>2037</v>
      </c>
      <c r="N63" s="10" t="n">
        <f aca="false">F63+Rules!$B$6</f>
        <v>2019</v>
      </c>
      <c r="O63" s="10" t="n">
        <f aca="false">MIN(G63,Rules!$B$11-Rules!$B$5)</f>
        <v>1996</v>
      </c>
      <c r="P63" s="6" t="str">
        <f aca="false">IF(Rules!$B$11&gt;=M63,"Fully eligible",IF(Rules!$B$11&gt;=L63,"Partially eligible","Not yet"))</f>
        <v>Not yet</v>
      </c>
      <c r="Q63" s="6" t="str">
        <f aca="false">IF(Rules!$B$11&gt;=G63+Rules!$B$6,"Fully eligible",IF(Rules!$B$11&gt;=N63,"Partially eligible","Not yet"))</f>
        <v>Partially eligible</v>
      </c>
      <c r="R63" s="11"/>
      <c r="S63" s="11"/>
      <c r="T63" s="11"/>
      <c r="U63" s="12" t="str">
        <f aca="false">IF(OR(R63="",S63=""),"",S63-R63-T63)</f>
        <v/>
      </c>
      <c r="V63" s="13"/>
    </row>
    <row r="64" customFormat="false" ht="30" hidden="false" customHeight="true" outlineLevel="0" collapsed="false">
      <c r="A64" s="6" t="n">
        <v>59</v>
      </c>
      <c r="B64" s="7" t="s">
        <v>341</v>
      </c>
      <c r="C64" s="7" t="s">
        <v>342</v>
      </c>
      <c r="D64" s="8" t="s">
        <v>343</v>
      </c>
      <c r="E64" s="8" t="s">
        <v>300</v>
      </c>
      <c r="F64" s="6" t="n">
        <v>2002</v>
      </c>
      <c r="G64" s="6" t="n">
        <v>2011</v>
      </c>
      <c r="H64" s="9" t="s">
        <v>344</v>
      </c>
      <c r="I64" s="9" t="s">
        <v>345</v>
      </c>
      <c r="J64" s="9" t="s">
        <v>346</v>
      </c>
      <c r="K64" s="6" t="n">
        <v>4</v>
      </c>
      <c r="L64" s="10" t="n">
        <f aca="false">F64+Rules!$B$5</f>
        <v>2032</v>
      </c>
      <c r="M64" s="10" t="n">
        <f aca="false">G64+Rules!$B$5</f>
        <v>2041</v>
      </c>
      <c r="N64" s="10" t="n">
        <f aca="false">F64+Rules!$B$6</f>
        <v>2022</v>
      </c>
      <c r="O64" s="10" t="n">
        <f aca="false">MIN(G64,Rules!$B$11-Rules!$B$5)</f>
        <v>1996</v>
      </c>
      <c r="P64" s="6" t="str">
        <f aca="false">IF(Rules!$B$11&gt;=M64,"Fully eligible",IF(Rules!$B$11&gt;=L64,"Partially eligible","Not yet"))</f>
        <v>Not yet</v>
      </c>
      <c r="Q64" s="6" t="str">
        <f aca="false">IF(Rules!$B$11&gt;=G64+Rules!$B$6,"Fully eligible",IF(Rules!$B$11&gt;=N64,"Partially eligible","Not yet"))</f>
        <v>Partially eligible</v>
      </c>
      <c r="R64" s="11"/>
      <c r="S64" s="11"/>
      <c r="T64" s="11"/>
      <c r="U64" s="12" t="str">
        <f aca="false">IF(OR(R64="",S64=""),"",S64-R64-T64)</f>
        <v/>
      </c>
      <c r="V64" s="13"/>
    </row>
    <row r="65" customFormat="false" ht="30" hidden="false" customHeight="true" outlineLevel="0" collapsed="false">
      <c r="A65" s="6" t="n">
        <v>60</v>
      </c>
      <c r="B65" s="7" t="s">
        <v>133</v>
      </c>
      <c r="C65" s="7" t="s">
        <v>347</v>
      </c>
      <c r="D65" s="8" t="s">
        <v>348</v>
      </c>
      <c r="E65" s="8" t="s">
        <v>300</v>
      </c>
      <c r="F65" s="6" t="n">
        <v>2003</v>
      </c>
      <c r="G65" s="6" t="n">
        <v>2007</v>
      </c>
      <c r="H65" s="9" t="s">
        <v>349</v>
      </c>
      <c r="I65" s="9" t="s">
        <v>350</v>
      </c>
      <c r="J65" s="9" t="s">
        <v>313</v>
      </c>
      <c r="K65" s="6" t="n">
        <v>4</v>
      </c>
      <c r="L65" s="10" t="n">
        <f aca="false">F65+Rules!$B$5</f>
        <v>2033</v>
      </c>
      <c r="M65" s="10" t="n">
        <f aca="false">G65+Rules!$B$5</f>
        <v>2037</v>
      </c>
      <c r="N65" s="10" t="n">
        <f aca="false">F65+Rules!$B$6</f>
        <v>2023</v>
      </c>
      <c r="O65" s="10" t="n">
        <f aca="false">MIN(G65,Rules!$B$11-Rules!$B$5)</f>
        <v>1996</v>
      </c>
      <c r="P65" s="6" t="str">
        <f aca="false">IF(Rules!$B$11&gt;=M65,"Fully eligible",IF(Rules!$B$11&gt;=L65,"Partially eligible","Not yet"))</f>
        <v>Not yet</v>
      </c>
      <c r="Q65" s="6" t="str">
        <f aca="false">IF(Rules!$B$11&gt;=G65+Rules!$B$6,"Fully eligible",IF(Rules!$B$11&gt;=N65,"Partially eligible","Not yet"))</f>
        <v>Partially eligible</v>
      </c>
      <c r="R65" s="11"/>
      <c r="S65" s="11"/>
      <c r="T65" s="11"/>
      <c r="U65" s="12" t="str">
        <f aca="false">IF(OR(R65="",S65=""),"",S65-R65-T65)</f>
        <v/>
      </c>
      <c r="V65" s="13"/>
    </row>
    <row r="66" customFormat="false" ht="30" hidden="false" customHeight="true" outlineLevel="0" collapsed="false">
      <c r="A66" s="6" t="n">
        <v>61</v>
      </c>
      <c r="B66" s="7" t="s">
        <v>351</v>
      </c>
      <c r="C66" s="7" t="s">
        <v>352</v>
      </c>
      <c r="D66" s="8" t="s">
        <v>353</v>
      </c>
      <c r="E66" s="8" t="s">
        <v>354</v>
      </c>
      <c r="F66" s="6" t="n">
        <v>2004</v>
      </c>
      <c r="G66" s="6" t="n">
        <v>2011</v>
      </c>
      <c r="H66" s="9" t="s">
        <v>355</v>
      </c>
      <c r="I66" s="9" t="s">
        <v>356</v>
      </c>
      <c r="J66" s="9" t="s">
        <v>357</v>
      </c>
      <c r="K66" s="6" t="n">
        <v>4</v>
      </c>
      <c r="L66" s="10" t="n">
        <f aca="false">F66+Rules!$B$5</f>
        <v>2034</v>
      </c>
      <c r="M66" s="10" t="n">
        <f aca="false">G66+Rules!$B$5</f>
        <v>2041</v>
      </c>
      <c r="N66" s="10" t="n">
        <f aca="false">F66+Rules!$B$6</f>
        <v>2024</v>
      </c>
      <c r="O66" s="10" t="n">
        <f aca="false">MIN(G66,Rules!$B$11-Rules!$B$5)</f>
        <v>1996</v>
      </c>
      <c r="P66" s="6" t="str">
        <f aca="false">IF(Rules!$B$11&gt;=M66,"Fully eligible",IF(Rules!$B$11&gt;=L66,"Partially eligible","Not yet"))</f>
        <v>Not yet</v>
      </c>
      <c r="Q66" s="6" t="str">
        <f aca="false">IF(Rules!$B$11&gt;=G66+Rules!$B$6,"Fully eligible",IF(Rules!$B$11&gt;=N66,"Partially eligible","Not yet"))</f>
        <v>Partially eligible</v>
      </c>
      <c r="R66" s="11"/>
      <c r="S66" s="11"/>
      <c r="T66" s="11"/>
      <c r="U66" s="12" t="str">
        <f aca="false">IF(OR(R66="",S66=""),"",S66-R66-T66)</f>
        <v/>
      </c>
      <c r="V66" s="13"/>
    </row>
    <row r="67" customFormat="false" ht="30" hidden="false" customHeight="true" outlineLevel="0" collapsed="false">
      <c r="A67" s="6" t="n">
        <v>62</v>
      </c>
      <c r="B67" s="7" t="s">
        <v>334</v>
      </c>
      <c r="C67" s="7" t="s">
        <v>358</v>
      </c>
      <c r="D67" s="8" t="s">
        <v>359</v>
      </c>
      <c r="E67" s="8" t="s">
        <v>337</v>
      </c>
      <c r="F67" s="6" t="n">
        <v>1997</v>
      </c>
      <c r="G67" s="6" t="n">
        <v>2010</v>
      </c>
      <c r="H67" s="9" t="s">
        <v>360</v>
      </c>
      <c r="I67" s="9" t="s">
        <v>361</v>
      </c>
      <c r="J67" s="9" t="s">
        <v>362</v>
      </c>
      <c r="K67" s="6" t="n">
        <v>5</v>
      </c>
      <c r="L67" s="10" t="n">
        <f aca="false">F67+Rules!$B$5</f>
        <v>2027</v>
      </c>
      <c r="M67" s="10" t="n">
        <f aca="false">G67+Rules!$B$5</f>
        <v>2040</v>
      </c>
      <c r="N67" s="10" t="n">
        <f aca="false">F67+Rules!$B$6</f>
        <v>2017</v>
      </c>
      <c r="O67" s="10" t="n">
        <f aca="false">MIN(G67,Rules!$B$11-Rules!$B$5)</f>
        <v>1996</v>
      </c>
      <c r="P67" s="6" t="str">
        <f aca="false">IF(Rules!$B$11&gt;=M67,"Fully eligible",IF(Rules!$B$11&gt;=L67,"Partially eligible","Not yet"))</f>
        <v>Not yet</v>
      </c>
      <c r="Q67" s="6" t="str">
        <f aca="false">IF(Rules!$B$11&gt;=G67+Rules!$B$6,"Fully eligible",IF(Rules!$B$11&gt;=N67,"Partially eligible","Not yet"))</f>
        <v>Partially eligible</v>
      </c>
      <c r="R67" s="11"/>
      <c r="S67" s="11"/>
      <c r="T67" s="11"/>
      <c r="U67" s="12" t="str">
        <f aca="false">IF(OR(R67="",S67=""),"",S67-R67-T67)</f>
        <v/>
      </c>
      <c r="V67" s="13"/>
    </row>
    <row r="68" customFormat="false" ht="30" hidden="false" customHeight="true" outlineLevel="0" collapsed="false">
      <c r="A68" s="6" t="n">
        <v>63</v>
      </c>
      <c r="B68" s="7" t="s">
        <v>217</v>
      </c>
      <c r="C68" s="7" t="s">
        <v>363</v>
      </c>
      <c r="D68" s="8" t="s">
        <v>364</v>
      </c>
      <c r="E68" s="8" t="s">
        <v>365</v>
      </c>
      <c r="F68" s="6" t="n">
        <v>1997</v>
      </c>
      <c r="G68" s="6" t="n">
        <v>2005</v>
      </c>
      <c r="H68" s="9" t="s">
        <v>366</v>
      </c>
      <c r="I68" s="9" t="s">
        <v>367</v>
      </c>
      <c r="J68" s="9" t="s">
        <v>368</v>
      </c>
      <c r="K68" s="6" t="n">
        <v>5</v>
      </c>
      <c r="L68" s="10" t="n">
        <f aca="false">F68+Rules!$B$5</f>
        <v>2027</v>
      </c>
      <c r="M68" s="10" t="n">
        <f aca="false">G68+Rules!$B$5</f>
        <v>2035</v>
      </c>
      <c r="N68" s="10" t="n">
        <f aca="false">F68+Rules!$B$6</f>
        <v>2017</v>
      </c>
      <c r="O68" s="10" t="n">
        <f aca="false">MIN(G68,Rules!$B$11-Rules!$B$5)</f>
        <v>1996</v>
      </c>
      <c r="P68" s="6" t="str">
        <f aca="false">IF(Rules!$B$11&gt;=M68,"Fully eligible",IF(Rules!$B$11&gt;=L68,"Partially eligible","Not yet"))</f>
        <v>Not yet</v>
      </c>
      <c r="Q68" s="6" t="str">
        <f aca="false">IF(Rules!$B$11&gt;=G68+Rules!$B$6,"Fully eligible",IF(Rules!$B$11&gt;=N68,"Partially eligible","Not yet"))</f>
        <v>Fully eligible</v>
      </c>
      <c r="R68" s="11"/>
      <c r="S68" s="11"/>
      <c r="T68" s="11"/>
      <c r="U68" s="12" t="str">
        <f aca="false">IF(OR(R68="",S68=""),"",S68-R68-T68)</f>
        <v/>
      </c>
      <c r="V68" s="13"/>
    </row>
    <row r="69" customFormat="false" ht="30" hidden="false" customHeight="true" outlineLevel="0" collapsed="false">
      <c r="A69" s="6" t="n">
        <v>64</v>
      </c>
      <c r="B69" s="7" t="s">
        <v>217</v>
      </c>
      <c r="C69" s="7" t="s">
        <v>369</v>
      </c>
      <c r="D69" s="8" t="s">
        <v>370</v>
      </c>
      <c r="E69" s="8" t="s">
        <v>371</v>
      </c>
      <c r="F69" s="6" t="n">
        <v>1997</v>
      </c>
      <c r="G69" s="6" t="n">
        <v>2005</v>
      </c>
      <c r="H69" s="9" t="s">
        <v>372</v>
      </c>
      <c r="I69" s="9" t="s">
        <v>373</v>
      </c>
      <c r="J69" s="9" t="s">
        <v>374</v>
      </c>
      <c r="K69" s="6" t="n">
        <v>4</v>
      </c>
      <c r="L69" s="10" t="n">
        <f aca="false">F69+Rules!$B$5</f>
        <v>2027</v>
      </c>
      <c r="M69" s="10" t="n">
        <f aca="false">G69+Rules!$B$5</f>
        <v>2035</v>
      </c>
      <c r="N69" s="10" t="n">
        <f aca="false">F69+Rules!$B$6</f>
        <v>2017</v>
      </c>
      <c r="O69" s="10" t="n">
        <f aca="false">MIN(G69,Rules!$B$11-Rules!$B$5)</f>
        <v>1996</v>
      </c>
      <c r="P69" s="6" t="str">
        <f aca="false">IF(Rules!$B$11&gt;=M69,"Fully eligible",IF(Rules!$B$11&gt;=L69,"Partially eligible","Not yet"))</f>
        <v>Not yet</v>
      </c>
      <c r="Q69" s="6" t="str">
        <f aca="false">IF(Rules!$B$11&gt;=G69+Rules!$B$6,"Fully eligible",IF(Rules!$B$11&gt;=N69,"Partially eligible","Not yet"))</f>
        <v>Fully eligible</v>
      </c>
      <c r="R69" s="11"/>
      <c r="S69" s="11"/>
      <c r="T69" s="11"/>
      <c r="U69" s="12" t="str">
        <f aca="false">IF(OR(R69="",S69=""),"",S69-R69-T69)</f>
        <v/>
      </c>
      <c r="V69" s="13"/>
    </row>
    <row r="70" customFormat="false" ht="30" hidden="false" customHeight="true" outlineLevel="0" collapsed="false">
      <c r="A70" s="6" t="n">
        <v>65</v>
      </c>
      <c r="B70" s="7" t="s">
        <v>85</v>
      </c>
      <c r="C70" s="7" t="s">
        <v>375</v>
      </c>
      <c r="D70" s="8" t="s">
        <v>376</v>
      </c>
      <c r="E70" s="8" t="s">
        <v>365</v>
      </c>
      <c r="F70" s="6" t="n">
        <v>2002</v>
      </c>
      <c r="G70" s="6" t="n">
        <v>2007</v>
      </c>
      <c r="H70" s="9" t="s">
        <v>377</v>
      </c>
      <c r="I70" s="9" t="s">
        <v>378</v>
      </c>
      <c r="J70" s="9" t="s">
        <v>379</v>
      </c>
      <c r="K70" s="6" t="n">
        <v>5</v>
      </c>
      <c r="L70" s="10" t="n">
        <f aca="false">F70+Rules!$B$5</f>
        <v>2032</v>
      </c>
      <c r="M70" s="10" t="n">
        <f aca="false">G70+Rules!$B$5</f>
        <v>2037</v>
      </c>
      <c r="N70" s="10" t="n">
        <f aca="false">F70+Rules!$B$6</f>
        <v>2022</v>
      </c>
      <c r="O70" s="10" t="n">
        <f aca="false">MIN(G70,Rules!$B$11-Rules!$B$5)</f>
        <v>1996</v>
      </c>
      <c r="P70" s="6" t="str">
        <f aca="false">IF(Rules!$B$11&gt;=M70,"Fully eligible",IF(Rules!$B$11&gt;=L70,"Partially eligible","Not yet"))</f>
        <v>Not yet</v>
      </c>
      <c r="Q70" s="6" t="str">
        <f aca="false">IF(Rules!$B$11&gt;=G70+Rules!$B$6,"Fully eligible",IF(Rules!$B$11&gt;=N70,"Partially eligible","Not yet"))</f>
        <v>Partially eligible</v>
      </c>
      <c r="R70" s="11"/>
      <c r="S70" s="11"/>
      <c r="T70" s="11"/>
      <c r="U70" s="12" t="str">
        <f aca="false">IF(OR(R70="",S70=""),"",S70-R70-T70)</f>
        <v/>
      </c>
      <c r="V70" s="13"/>
    </row>
    <row r="71" customFormat="false" ht="30" hidden="false" customHeight="true" outlineLevel="0" collapsed="false">
      <c r="A71" s="6" t="n">
        <v>66</v>
      </c>
      <c r="B71" s="7" t="s">
        <v>85</v>
      </c>
      <c r="C71" s="7" t="s">
        <v>380</v>
      </c>
      <c r="D71" s="8" t="s">
        <v>381</v>
      </c>
      <c r="E71" s="8" t="s">
        <v>371</v>
      </c>
      <c r="F71" s="6" t="n">
        <v>1997</v>
      </c>
      <c r="G71" s="6" t="n">
        <v>2008</v>
      </c>
      <c r="H71" s="9" t="s">
        <v>382</v>
      </c>
      <c r="I71" s="9" t="s">
        <v>383</v>
      </c>
      <c r="J71" s="9" t="s">
        <v>384</v>
      </c>
      <c r="K71" s="6" t="n">
        <v>5</v>
      </c>
      <c r="L71" s="10" t="n">
        <f aca="false">F71+Rules!$B$5</f>
        <v>2027</v>
      </c>
      <c r="M71" s="10" t="n">
        <f aca="false">G71+Rules!$B$5</f>
        <v>2038</v>
      </c>
      <c r="N71" s="10" t="n">
        <f aca="false">F71+Rules!$B$6</f>
        <v>2017</v>
      </c>
      <c r="O71" s="10" t="n">
        <f aca="false">MIN(G71,Rules!$B$11-Rules!$B$5)</f>
        <v>1996</v>
      </c>
      <c r="P71" s="6" t="str">
        <f aca="false">IF(Rules!$B$11&gt;=M71,"Fully eligible",IF(Rules!$B$11&gt;=L71,"Partially eligible","Not yet"))</f>
        <v>Not yet</v>
      </c>
      <c r="Q71" s="6" t="str">
        <f aca="false">IF(Rules!$B$11&gt;=G71+Rules!$B$6,"Fully eligible",IF(Rules!$B$11&gt;=N71,"Partially eligible","Not yet"))</f>
        <v>Partially eligible</v>
      </c>
      <c r="R71" s="11"/>
      <c r="S71" s="11"/>
      <c r="T71" s="11"/>
      <c r="U71" s="12" t="str">
        <f aca="false">IF(OR(R71="",S71=""),"",S71-R71-T71)</f>
        <v/>
      </c>
      <c r="V71" s="13"/>
    </row>
    <row r="72" customFormat="false" ht="30" hidden="false" customHeight="true" outlineLevel="0" collapsed="false">
      <c r="A72" s="6" t="n">
        <v>67</v>
      </c>
      <c r="B72" s="7" t="s">
        <v>85</v>
      </c>
      <c r="C72" s="7" t="s">
        <v>385</v>
      </c>
      <c r="D72" s="8" t="s">
        <v>386</v>
      </c>
      <c r="E72" s="8" t="s">
        <v>300</v>
      </c>
      <c r="F72" s="6" t="n">
        <v>2004</v>
      </c>
      <c r="G72" s="6" t="n">
        <v>2009</v>
      </c>
      <c r="H72" s="9" t="s">
        <v>387</v>
      </c>
      <c r="I72" s="9" t="s">
        <v>388</v>
      </c>
      <c r="J72" s="9" t="s">
        <v>389</v>
      </c>
      <c r="K72" s="6" t="n">
        <v>5</v>
      </c>
      <c r="L72" s="10" t="n">
        <f aca="false">F72+Rules!$B$5</f>
        <v>2034</v>
      </c>
      <c r="M72" s="10" t="n">
        <f aca="false">G72+Rules!$B$5</f>
        <v>2039</v>
      </c>
      <c r="N72" s="10" t="n">
        <f aca="false">F72+Rules!$B$6</f>
        <v>2024</v>
      </c>
      <c r="O72" s="10" t="n">
        <f aca="false">MIN(G72,Rules!$B$11-Rules!$B$5)</f>
        <v>1996</v>
      </c>
      <c r="P72" s="6" t="str">
        <f aca="false">IF(Rules!$B$11&gt;=M72,"Fully eligible",IF(Rules!$B$11&gt;=L72,"Partially eligible","Not yet"))</f>
        <v>Not yet</v>
      </c>
      <c r="Q72" s="6" t="str">
        <f aca="false">IF(Rules!$B$11&gt;=G72+Rules!$B$6,"Fully eligible",IF(Rules!$B$11&gt;=N72,"Partially eligible","Not yet"))</f>
        <v>Partially eligible</v>
      </c>
      <c r="R72" s="11"/>
      <c r="S72" s="11"/>
      <c r="T72" s="11"/>
      <c r="U72" s="12" t="str">
        <f aca="false">IF(OR(R72="",S72=""),"",S72-R72-T72)</f>
        <v/>
      </c>
      <c r="V72" s="13"/>
    </row>
    <row r="73" customFormat="false" ht="30" hidden="false" customHeight="true" outlineLevel="0" collapsed="false">
      <c r="A73" s="6" t="n">
        <v>68</v>
      </c>
      <c r="B73" s="7" t="s">
        <v>126</v>
      </c>
      <c r="C73" s="7" t="s">
        <v>390</v>
      </c>
      <c r="D73" s="8" t="s">
        <v>391</v>
      </c>
      <c r="E73" s="8" t="s">
        <v>365</v>
      </c>
      <c r="F73" s="6" t="n">
        <v>2001</v>
      </c>
      <c r="G73" s="6" t="n">
        <v>2008</v>
      </c>
      <c r="H73" s="9" t="s">
        <v>392</v>
      </c>
      <c r="I73" s="9" t="s">
        <v>393</v>
      </c>
      <c r="J73" s="9" t="s">
        <v>394</v>
      </c>
      <c r="K73" s="6" t="n">
        <v>5</v>
      </c>
      <c r="L73" s="10" t="n">
        <f aca="false">F73+Rules!$B$5</f>
        <v>2031</v>
      </c>
      <c r="M73" s="10" t="n">
        <f aca="false">G73+Rules!$B$5</f>
        <v>2038</v>
      </c>
      <c r="N73" s="10" t="n">
        <f aca="false">F73+Rules!$B$6</f>
        <v>2021</v>
      </c>
      <c r="O73" s="10" t="n">
        <f aca="false">MIN(G73,Rules!$B$11-Rules!$B$5)</f>
        <v>1996</v>
      </c>
      <c r="P73" s="6" t="str">
        <f aca="false">IF(Rules!$B$11&gt;=M73,"Fully eligible",IF(Rules!$B$11&gt;=L73,"Partially eligible","Not yet"))</f>
        <v>Not yet</v>
      </c>
      <c r="Q73" s="6" t="str">
        <f aca="false">IF(Rules!$B$11&gt;=G73+Rules!$B$6,"Fully eligible",IF(Rules!$B$11&gt;=N73,"Partially eligible","Not yet"))</f>
        <v>Partially eligible</v>
      </c>
      <c r="R73" s="11"/>
      <c r="S73" s="11"/>
      <c r="T73" s="11"/>
      <c r="U73" s="12" t="str">
        <f aca="false">IF(OR(R73="",S73=""),"",S73-R73-T73)</f>
        <v/>
      </c>
      <c r="V73" s="13"/>
    </row>
    <row r="74" customFormat="false" ht="30" hidden="false" customHeight="true" outlineLevel="0" collapsed="false">
      <c r="A74" s="6" t="n">
        <v>69</v>
      </c>
      <c r="B74" s="7" t="s">
        <v>133</v>
      </c>
      <c r="C74" s="7" t="s">
        <v>395</v>
      </c>
      <c r="D74" s="8" t="s">
        <v>396</v>
      </c>
      <c r="E74" s="8" t="s">
        <v>365</v>
      </c>
      <c r="F74" s="6" t="n">
        <v>2002</v>
      </c>
      <c r="G74" s="6" t="n">
        <v>2008</v>
      </c>
      <c r="H74" s="9" t="s">
        <v>397</v>
      </c>
      <c r="I74" s="9" t="s">
        <v>398</v>
      </c>
      <c r="J74" s="9" t="s">
        <v>399</v>
      </c>
      <c r="K74" s="6" t="n">
        <v>4</v>
      </c>
      <c r="L74" s="10" t="n">
        <f aca="false">F74+Rules!$B$5</f>
        <v>2032</v>
      </c>
      <c r="M74" s="10" t="n">
        <f aca="false">G74+Rules!$B$5</f>
        <v>2038</v>
      </c>
      <c r="N74" s="10" t="n">
        <f aca="false">F74+Rules!$B$6</f>
        <v>2022</v>
      </c>
      <c r="O74" s="10" t="n">
        <f aca="false">MIN(G74,Rules!$B$11-Rules!$B$5)</f>
        <v>1996</v>
      </c>
      <c r="P74" s="6" t="str">
        <f aca="false">IF(Rules!$B$11&gt;=M74,"Fully eligible",IF(Rules!$B$11&gt;=L74,"Partially eligible","Not yet"))</f>
        <v>Not yet</v>
      </c>
      <c r="Q74" s="6" t="str">
        <f aca="false">IF(Rules!$B$11&gt;=G74+Rules!$B$6,"Fully eligible",IF(Rules!$B$11&gt;=N74,"Partially eligible","Not yet"))</f>
        <v>Partially eligible</v>
      </c>
      <c r="R74" s="11"/>
      <c r="S74" s="11"/>
      <c r="T74" s="11"/>
      <c r="U74" s="12" t="str">
        <f aca="false">IF(OR(R74="",S74=""),"",S74-R74-T74)</f>
        <v/>
      </c>
      <c r="V74" s="13"/>
    </row>
    <row r="75" customFormat="false" ht="30" hidden="false" customHeight="true" outlineLevel="0" collapsed="false">
      <c r="A75" s="6" t="n">
        <v>70</v>
      </c>
      <c r="B75" s="7" t="s">
        <v>182</v>
      </c>
      <c r="C75" s="7" t="s">
        <v>400</v>
      </c>
      <c r="D75" s="8" t="s">
        <v>401</v>
      </c>
      <c r="E75" s="8" t="s">
        <v>402</v>
      </c>
      <c r="F75" s="6" t="n">
        <v>1997</v>
      </c>
      <c r="G75" s="6" t="n">
        <v>2004</v>
      </c>
      <c r="H75" s="9" t="s">
        <v>403</v>
      </c>
      <c r="I75" s="9" t="s">
        <v>404</v>
      </c>
      <c r="J75" s="9" t="s">
        <v>405</v>
      </c>
      <c r="K75" s="6" t="n">
        <v>4</v>
      </c>
      <c r="L75" s="10" t="n">
        <f aca="false">F75+Rules!$B$5</f>
        <v>2027</v>
      </c>
      <c r="M75" s="10" t="n">
        <f aca="false">G75+Rules!$B$5</f>
        <v>2034</v>
      </c>
      <c r="N75" s="10" t="n">
        <f aca="false">F75+Rules!$B$6</f>
        <v>2017</v>
      </c>
      <c r="O75" s="10" t="n">
        <f aca="false">MIN(G75,Rules!$B$11-Rules!$B$5)</f>
        <v>1996</v>
      </c>
      <c r="P75" s="6" t="str">
        <f aca="false">IF(Rules!$B$11&gt;=M75,"Fully eligible",IF(Rules!$B$11&gt;=L75,"Partially eligible","Not yet"))</f>
        <v>Not yet</v>
      </c>
      <c r="Q75" s="6" t="str">
        <f aca="false">IF(Rules!$B$11&gt;=G75+Rules!$B$6,"Fully eligible",IF(Rules!$B$11&gt;=N75,"Partially eligible","Not yet"))</f>
        <v>Fully eligible</v>
      </c>
      <c r="R75" s="11"/>
      <c r="S75" s="11"/>
      <c r="T75" s="11"/>
      <c r="U75" s="12" t="str">
        <f aca="false">IF(OR(R75="",S75=""),"",S75-R75-T75)</f>
        <v/>
      </c>
      <c r="V75" s="13"/>
    </row>
    <row r="76" customFormat="false" ht="30" hidden="false" customHeight="true" outlineLevel="0" collapsed="false">
      <c r="A76" s="6" t="n">
        <v>71</v>
      </c>
      <c r="B76" s="7" t="s">
        <v>24</v>
      </c>
      <c r="C76" s="7" t="s">
        <v>406</v>
      </c>
      <c r="D76" s="8" t="s">
        <v>407</v>
      </c>
      <c r="E76" s="8" t="s">
        <v>371</v>
      </c>
      <c r="F76" s="6" t="n">
        <v>1997</v>
      </c>
      <c r="G76" s="6" t="n">
        <v>2002</v>
      </c>
      <c r="H76" s="9" t="s">
        <v>408</v>
      </c>
      <c r="I76" s="9" t="s">
        <v>409</v>
      </c>
      <c r="J76" s="9" t="s">
        <v>410</v>
      </c>
      <c r="K76" s="6" t="n">
        <v>4</v>
      </c>
      <c r="L76" s="10" t="n">
        <f aca="false">F76+Rules!$B$5</f>
        <v>2027</v>
      </c>
      <c r="M76" s="10" t="n">
        <f aca="false">G76+Rules!$B$5</f>
        <v>2032</v>
      </c>
      <c r="N76" s="10" t="n">
        <f aca="false">F76+Rules!$B$6</f>
        <v>2017</v>
      </c>
      <c r="O76" s="10" t="n">
        <f aca="false">MIN(G76,Rules!$B$11-Rules!$B$5)</f>
        <v>1996</v>
      </c>
      <c r="P76" s="6" t="str">
        <f aca="false">IF(Rules!$B$11&gt;=M76,"Fully eligible",IF(Rules!$B$11&gt;=L76,"Partially eligible","Not yet"))</f>
        <v>Not yet</v>
      </c>
      <c r="Q76" s="6" t="str">
        <f aca="false">IF(Rules!$B$11&gt;=G76+Rules!$B$6,"Fully eligible",IF(Rules!$B$11&gt;=N76,"Partially eligible","Not yet"))</f>
        <v>Fully eligible</v>
      </c>
      <c r="R76" s="11"/>
      <c r="S76" s="11"/>
      <c r="T76" s="11"/>
      <c r="U76" s="12" t="str">
        <f aca="false">IF(OR(R76="",S76=""),"",S76-R76-T76)</f>
        <v/>
      </c>
      <c r="V76" s="13"/>
    </row>
    <row r="77" customFormat="false" ht="30" hidden="false" customHeight="true" outlineLevel="0" collapsed="false">
      <c r="A77" s="6" t="n">
        <v>72</v>
      </c>
      <c r="B77" s="7" t="s">
        <v>244</v>
      </c>
      <c r="C77" s="7" t="s">
        <v>411</v>
      </c>
      <c r="D77" s="8" t="s">
        <v>412</v>
      </c>
      <c r="E77" s="8" t="s">
        <v>413</v>
      </c>
      <c r="F77" s="6" t="n">
        <v>1998</v>
      </c>
      <c r="G77" s="6" t="n">
        <v>2005</v>
      </c>
      <c r="H77" s="9" t="s">
        <v>414</v>
      </c>
      <c r="I77" s="9" t="s">
        <v>415</v>
      </c>
      <c r="J77" s="9" t="s">
        <v>416</v>
      </c>
      <c r="K77" s="6" t="n">
        <v>4</v>
      </c>
      <c r="L77" s="10" t="n">
        <f aca="false">F77+Rules!$B$5</f>
        <v>2028</v>
      </c>
      <c r="M77" s="10" t="n">
        <f aca="false">G77+Rules!$B$5</f>
        <v>2035</v>
      </c>
      <c r="N77" s="10" t="n">
        <f aca="false">F77+Rules!$B$6</f>
        <v>2018</v>
      </c>
      <c r="O77" s="10" t="n">
        <f aca="false">MIN(G77,Rules!$B$11-Rules!$B$5)</f>
        <v>1996</v>
      </c>
      <c r="P77" s="6" t="str">
        <f aca="false">IF(Rules!$B$11&gt;=M77,"Fully eligible",IF(Rules!$B$11&gt;=L77,"Partially eligible","Not yet"))</f>
        <v>Not yet</v>
      </c>
      <c r="Q77" s="6" t="str">
        <f aca="false">IF(Rules!$B$11&gt;=G77+Rules!$B$6,"Fully eligible",IF(Rules!$B$11&gt;=N77,"Partially eligible","Not yet"))</f>
        <v>Fully eligible</v>
      </c>
      <c r="R77" s="11"/>
      <c r="S77" s="11"/>
      <c r="T77" s="11"/>
      <c r="U77" s="12" t="str">
        <f aca="false">IF(OR(R77="",S77=""),"",S77-R77-T77)</f>
        <v/>
      </c>
      <c r="V77" s="13"/>
    </row>
    <row r="78" customFormat="false" ht="30" hidden="false" customHeight="true" outlineLevel="0" collapsed="false">
      <c r="A78" s="6" t="n">
        <v>73</v>
      </c>
      <c r="B78" s="7" t="s">
        <v>65</v>
      </c>
      <c r="C78" s="7" t="s">
        <v>417</v>
      </c>
      <c r="D78" s="8" t="s">
        <v>418</v>
      </c>
      <c r="E78" s="8" t="s">
        <v>371</v>
      </c>
      <c r="F78" s="6" t="n">
        <v>2000</v>
      </c>
      <c r="G78" s="6" t="n">
        <v>2007</v>
      </c>
      <c r="H78" s="9" t="s">
        <v>419</v>
      </c>
      <c r="I78" s="9" t="s">
        <v>420</v>
      </c>
      <c r="J78" s="9" t="s">
        <v>421</v>
      </c>
      <c r="K78" s="6" t="n">
        <v>4</v>
      </c>
      <c r="L78" s="10" t="n">
        <f aca="false">F78+Rules!$B$5</f>
        <v>2030</v>
      </c>
      <c r="M78" s="10" t="n">
        <f aca="false">G78+Rules!$B$5</f>
        <v>2037</v>
      </c>
      <c r="N78" s="10" t="n">
        <f aca="false">F78+Rules!$B$6</f>
        <v>2020</v>
      </c>
      <c r="O78" s="10" t="n">
        <f aca="false">MIN(G78,Rules!$B$11-Rules!$B$5)</f>
        <v>1996</v>
      </c>
      <c r="P78" s="6" t="str">
        <f aca="false">IF(Rules!$B$11&gt;=M78,"Fully eligible",IF(Rules!$B$11&gt;=L78,"Partially eligible","Not yet"))</f>
        <v>Not yet</v>
      </c>
      <c r="Q78" s="6" t="str">
        <f aca="false">IF(Rules!$B$11&gt;=G78+Rules!$B$6,"Fully eligible",IF(Rules!$B$11&gt;=N78,"Partially eligible","Not yet"))</f>
        <v>Partially eligible</v>
      </c>
      <c r="R78" s="11"/>
      <c r="S78" s="11"/>
      <c r="T78" s="11"/>
      <c r="U78" s="12" t="str">
        <f aca="false">IF(OR(R78="",S78=""),"",S78-R78-T78)</f>
        <v/>
      </c>
      <c r="V78" s="13"/>
    </row>
    <row r="79" customFormat="false" ht="30" hidden="false" customHeight="true" outlineLevel="0" collapsed="false">
      <c r="A79" s="6" t="n">
        <v>74</v>
      </c>
      <c r="B79" s="7" t="s">
        <v>120</v>
      </c>
      <c r="C79" s="7" t="s">
        <v>422</v>
      </c>
      <c r="D79" s="8" t="s">
        <v>423</v>
      </c>
      <c r="E79" s="8" t="s">
        <v>424</v>
      </c>
      <c r="F79" s="6" t="n">
        <v>1999</v>
      </c>
      <c r="G79" s="6" t="n">
        <v>2006</v>
      </c>
      <c r="H79" s="9" t="s">
        <v>425</v>
      </c>
      <c r="I79" s="9" t="s">
        <v>426</v>
      </c>
      <c r="J79" s="9" t="s">
        <v>427</v>
      </c>
      <c r="K79" s="6" t="n">
        <v>5</v>
      </c>
      <c r="L79" s="10" t="n">
        <f aca="false">F79+Rules!$B$5</f>
        <v>2029</v>
      </c>
      <c r="M79" s="10" t="n">
        <f aca="false">G79+Rules!$B$5</f>
        <v>2036</v>
      </c>
      <c r="N79" s="10" t="n">
        <f aca="false">F79+Rules!$B$6</f>
        <v>2019</v>
      </c>
      <c r="O79" s="10" t="n">
        <f aca="false">MIN(G79,Rules!$B$11-Rules!$B$5)</f>
        <v>1996</v>
      </c>
      <c r="P79" s="6" t="str">
        <f aca="false">IF(Rules!$B$11&gt;=M79,"Fully eligible",IF(Rules!$B$11&gt;=L79,"Partially eligible","Not yet"))</f>
        <v>Not yet</v>
      </c>
      <c r="Q79" s="6" t="str">
        <f aca="false">IF(Rules!$B$11&gt;=G79+Rules!$B$6,"Fully eligible",IF(Rules!$B$11&gt;=N79,"Partially eligible","Not yet"))</f>
        <v>Fully eligible</v>
      </c>
      <c r="R79" s="11"/>
      <c r="S79" s="11"/>
      <c r="T79" s="11"/>
      <c r="U79" s="12" t="str">
        <f aca="false">IF(OR(R79="",S79=""),"",S79-R79-T79)</f>
        <v/>
      </c>
      <c r="V79" s="13"/>
    </row>
    <row r="80" customFormat="false" ht="30" hidden="false" customHeight="true" outlineLevel="0" collapsed="false">
      <c r="A80" s="6" t="n">
        <v>75</v>
      </c>
      <c r="B80" s="7" t="s">
        <v>85</v>
      </c>
      <c r="C80" s="7" t="s">
        <v>428</v>
      </c>
      <c r="D80" s="8" t="s">
        <v>429</v>
      </c>
      <c r="E80" s="8" t="s">
        <v>430</v>
      </c>
      <c r="F80" s="6" t="n">
        <v>1998</v>
      </c>
      <c r="G80" s="6" t="n">
        <v>2007</v>
      </c>
      <c r="H80" s="9" t="s">
        <v>431</v>
      </c>
      <c r="I80" s="9" t="s">
        <v>432</v>
      </c>
      <c r="J80" s="9" t="s">
        <v>433</v>
      </c>
      <c r="K80" s="6" t="n">
        <v>5</v>
      </c>
      <c r="L80" s="10" t="n">
        <f aca="false">F80+Rules!$B$5</f>
        <v>2028</v>
      </c>
      <c r="M80" s="10" t="n">
        <f aca="false">G80+Rules!$B$5</f>
        <v>2037</v>
      </c>
      <c r="N80" s="10" t="n">
        <f aca="false">F80+Rules!$B$6</f>
        <v>2018</v>
      </c>
      <c r="O80" s="10" t="n">
        <f aca="false">MIN(G80,Rules!$B$11-Rules!$B$5)</f>
        <v>1996</v>
      </c>
      <c r="P80" s="6" t="str">
        <f aca="false">IF(Rules!$B$11&gt;=M80,"Fully eligible",IF(Rules!$B$11&gt;=L80,"Partially eligible","Not yet"))</f>
        <v>Not yet</v>
      </c>
      <c r="Q80" s="6" t="str">
        <f aca="false">IF(Rules!$B$11&gt;=G80+Rules!$B$6,"Fully eligible",IF(Rules!$B$11&gt;=N80,"Partially eligible","Not yet"))</f>
        <v>Partially eligible</v>
      </c>
      <c r="R80" s="11"/>
      <c r="S80" s="11"/>
      <c r="T80" s="11"/>
      <c r="U80" s="12" t="str">
        <f aca="false">IF(OR(R80="",S80=""),"",S80-R80-T80)</f>
        <v/>
      </c>
      <c r="V80" s="13"/>
    </row>
    <row r="81" customFormat="false" ht="30" hidden="false" customHeight="true" outlineLevel="0" collapsed="false">
      <c r="A81" s="6" t="n">
        <v>76</v>
      </c>
      <c r="B81" s="7" t="s">
        <v>85</v>
      </c>
      <c r="C81" s="7" t="s">
        <v>434</v>
      </c>
      <c r="D81" s="8" t="s">
        <v>435</v>
      </c>
      <c r="E81" s="8" t="s">
        <v>436</v>
      </c>
      <c r="F81" s="6" t="n">
        <v>1997</v>
      </c>
      <c r="G81" s="6" t="n">
        <v>2011</v>
      </c>
      <c r="H81" s="9" t="s">
        <v>437</v>
      </c>
      <c r="I81" s="9" t="s">
        <v>438</v>
      </c>
      <c r="J81" s="9" t="s">
        <v>439</v>
      </c>
      <c r="K81" s="6" t="n">
        <v>5</v>
      </c>
      <c r="L81" s="10" t="n">
        <f aca="false">F81+Rules!$B$5</f>
        <v>2027</v>
      </c>
      <c r="M81" s="10" t="n">
        <f aca="false">G81+Rules!$B$5</f>
        <v>2041</v>
      </c>
      <c r="N81" s="10" t="n">
        <f aca="false">F81+Rules!$B$6</f>
        <v>2017</v>
      </c>
      <c r="O81" s="10" t="n">
        <f aca="false">MIN(G81,Rules!$B$11-Rules!$B$5)</f>
        <v>1996</v>
      </c>
      <c r="P81" s="6" t="str">
        <f aca="false">IF(Rules!$B$11&gt;=M81,"Fully eligible",IF(Rules!$B$11&gt;=L81,"Partially eligible","Not yet"))</f>
        <v>Not yet</v>
      </c>
      <c r="Q81" s="6" t="str">
        <f aca="false">IF(Rules!$B$11&gt;=G81+Rules!$B$6,"Fully eligible",IF(Rules!$B$11&gt;=N81,"Partially eligible","Not yet"))</f>
        <v>Partially eligible</v>
      </c>
      <c r="R81" s="11"/>
      <c r="S81" s="11"/>
      <c r="T81" s="11"/>
      <c r="U81" s="12" t="str">
        <f aca="false">IF(OR(R81="",S81=""),"",S81-R81-T81)</f>
        <v/>
      </c>
      <c r="V81" s="13"/>
    </row>
    <row r="82" customFormat="false" ht="30" hidden="false" customHeight="true" outlineLevel="0" collapsed="false">
      <c r="A82" s="6" t="n">
        <v>77</v>
      </c>
      <c r="B82" s="7" t="s">
        <v>85</v>
      </c>
      <c r="C82" s="7" t="s">
        <v>440</v>
      </c>
      <c r="D82" s="8" t="s">
        <v>441</v>
      </c>
      <c r="E82" s="8" t="s">
        <v>442</v>
      </c>
      <c r="F82" s="6" t="n">
        <v>2000</v>
      </c>
      <c r="G82" s="6" t="n">
        <v>2005</v>
      </c>
      <c r="H82" s="9" t="s">
        <v>443</v>
      </c>
      <c r="I82" s="9" t="s">
        <v>444</v>
      </c>
      <c r="J82" s="9" t="s">
        <v>445</v>
      </c>
      <c r="K82" s="6" t="n">
        <v>4</v>
      </c>
      <c r="L82" s="10" t="n">
        <f aca="false">F82+Rules!$B$5</f>
        <v>2030</v>
      </c>
      <c r="M82" s="10" t="n">
        <f aca="false">G82+Rules!$B$5</f>
        <v>2035</v>
      </c>
      <c r="N82" s="10" t="n">
        <f aca="false">F82+Rules!$B$6</f>
        <v>2020</v>
      </c>
      <c r="O82" s="10" t="n">
        <f aca="false">MIN(G82,Rules!$B$11-Rules!$B$5)</f>
        <v>1996</v>
      </c>
      <c r="P82" s="6" t="str">
        <f aca="false">IF(Rules!$B$11&gt;=M82,"Fully eligible",IF(Rules!$B$11&gt;=L82,"Partially eligible","Not yet"))</f>
        <v>Not yet</v>
      </c>
      <c r="Q82" s="6" t="str">
        <f aca="false">IF(Rules!$B$11&gt;=G82+Rules!$B$6,"Fully eligible",IF(Rules!$B$11&gt;=N82,"Partially eligible","Not yet"))</f>
        <v>Fully eligible</v>
      </c>
      <c r="R82" s="11"/>
      <c r="S82" s="11"/>
      <c r="T82" s="11"/>
      <c r="U82" s="12" t="str">
        <f aca="false">IF(OR(R82="",S82=""),"",S82-R82-T82)</f>
        <v/>
      </c>
      <c r="V82" s="13"/>
    </row>
    <row r="83" customFormat="false" ht="30" hidden="false" customHeight="true" outlineLevel="0" collapsed="false">
      <c r="A83" s="6" t="n">
        <v>78</v>
      </c>
      <c r="B83" s="7" t="s">
        <v>170</v>
      </c>
      <c r="C83" s="7" t="s">
        <v>446</v>
      </c>
      <c r="D83" s="8" t="s">
        <v>447</v>
      </c>
      <c r="E83" s="8" t="s">
        <v>430</v>
      </c>
      <c r="F83" s="6" t="n">
        <v>1998</v>
      </c>
      <c r="G83" s="6" t="n">
        <v>2011</v>
      </c>
      <c r="H83" s="9" t="s">
        <v>448</v>
      </c>
      <c r="I83" s="9" t="s">
        <v>449</v>
      </c>
      <c r="J83" s="9" t="s">
        <v>450</v>
      </c>
      <c r="K83" s="6" t="n">
        <v>4</v>
      </c>
      <c r="L83" s="10" t="n">
        <f aca="false">F83+Rules!$B$5</f>
        <v>2028</v>
      </c>
      <c r="M83" s="10" t="n">
        <f aca="false">G83+Rules!$B$5</f>
        <v>2041</v>
      </c>
      <c r="N83" s="10" t="n">
        <f aca="false">F83+Rules!$B$6</f>
        <v>2018</v>
      </c>
      <c r="O83" s="10" t="n">
        <f aca="false">MIN(G83,Rules!$B$11-Rules!$B$5)</f>
        <v>1996</v>
      </c>
      <c r="P83" s="6" t="str">
        <f aca="false">IF(Rules!$B$11&gt;=M83,"Fully eligible",IF(Rules!$B$11&gt;=L83,"Partially eligible","Not yet"))</f>
        <v>Not yet</v>
      </c>
      <c r="Q83" s="6" t="str">
        <f aca="false">IF(Rules!$B$11&gt;=G83+Rules!$B$6,"Fully eligible",IF(Rules!$B$11&gt;=N83,"Partially eligible","Not yet"))</f>
        <v>Partially eligible</v>
      </c>
      <c r="R83" s="11"/>
      <c r="S83" s="11"/>
      <c r="T83" s="11"/>
      <c r="U83" s="12" t="str">
        <f aca="false">IF(OR(R83="",S83=""),"",S83-R83-T83)</f>
        <v/>
      </c>
      <c r="V83" s="13"/>
    </row>
    <row r="84" customFormat="false" ht="30" hidden="false" customHeight="true" outlineLevel="0" collapsed="false">
      <c r="A84" s="6" t="n">
        <v>79</v>
      </c>
      <c r="B84" s="7" t="s">
        <v>170</v>
      </c>
      <c r="C84" s="7" t="s">
        <v>451</v>
      </c>
      <c r="D84" s="8" t="s">
        <v>452</v>
      </c>
      <c r="E84" s="8" t="s">
        <v>453</v>
      </c>
      <c r="F84" s="6" t="n">
        <v>1998</v>
      </c>
      <c r="G84" s="6" t="n">
        <v>2011</v>
      </c>
      <c r="H84" s="9" t="s">
        <v>454</v>
      </c>
      <c r="I84" s="9" t="s">
        <v>455</v>
      </c>
      <c r="J84" s="9" t="s">
        <v>456</v>
      </c>
      <c r="K84" s="6" t="n">
        <v>4</v>
      </c>
      <c r="L84" s="10" t="n">
        <f aca="false">F84+Rules!$B$5</f>
        <v>2028</v>
      </c>
      <c r="M84" s="10" t="n">
        <f aca="false">G84+Rules!$B$5</f>
        <v>2041</v>
      </c>
      <c r="N84" s="10" t="n">
        <f aca="false">F84+Rules!$B$6</f>
        <v>2018</v>
      </c>
      <c r="O84" s="10" t="n">
        <f aca="false">MIN(G84,Rules!$B$11-Rules!$B$5)</f>
        <v>1996</v>
      </c>
      <c r="P84" s="6" t="str">
        <f aca="false">IF(Rules!$B$11&gt;=M84,"Fully eligible",IF(Rules!$B$11&gt;=L84,"Partially eligible","Not yet"))</f>
        <v>Not yet</v>
      </c>
      <c r="Q84" s="6" t="str">
        <f aca="false">IF(Rules!$B$11&gt;=G84+Rules!$B$6,"Fully eligible",IF(Rules!$B$11&gt;=N84,"Partially eligible","Not yet"))</f>
        <v>Partially eligible</v>
      </c>
      <c r="R84" s="11"/>
      <c r="S84" s="11"/>
      <c r="T84" s="11"/>
      <c r="U84" s="12" t="str">
        <f aca="false">IF(OR(R84="",S84=""),"",S84-R84-T84)</f>
        <v/>
      </c>
      <c r="V84" s="13"/>
    </row>
    <row r="85" customFormat="false" ht="30" hidden="false" customHeight="true" outlineLevel="0" collapsed="false">
      <c r="A85" s="6" t="n">
        <v>80</v>
      </c>
      <c r="B85" s="7" t="s">
        <v>126</v>
      </c>
      <c r="C85" s="7" t="s">
        <v>457</v>
      </c>
      <c r="D85" s="8" t="s">
        <v>458</v>
      </c>
      <c r="E85" s="8" t="s">
        <v>442</v>
      </c>
      <c r="F85" s="6" t="n">
        <v>2002</v>
      </c>
      <c r="G85" s="6" t="n">
        <v>2006</v>
      </c>
      <c r="H85" s="9" t="s">
        <v>459</v>
      </c>
      <c r="I85" s="9" t="s">
        <v>460</v>
      </c>
      <c r="J85" s="9" t="s">
        <v>461</v>
      </c>
      <c r="K85" s="6" t="n">
        <v>5</v>
      </c>
      <c r="L85" s="10" t="n">
        <f aca="false">F85+Rules!$B$5</f>
        <v>2032</v>
      </c>
      <c r="M85" s="10" t="n">
        <f aca="false">G85+Rules!$B$5</f>
        <v>2036</v>
      </c>
      <c r="N85" s="10" t="n">
        <f aca="false">F85+Rules!$B$6</f>
        <v>2022</v>
      </c>
      <c r="O85" s="10" t="n">
        <f aca="false">MIN(G85,Rules!$B$11-Rules!$B$5)</f>
        <v>1996</v>
      </c>
      <c r="P85" s="6" t="str">
        <f aca="false">IF(Rules!$B$11&gt;=M85,"Fully eligible",IF(Rules!$B$11&gt;=L85,"Partially eligible","Not yet"))</f>
        <v>Not yet</v>
      </c>
      <c r="Q85" s="6" t="str">
        <f aca="false">IF(Rules!$B$11&gt;=G85+Rules!$B$6,"Fully eligible",IF(Rules!$B$11&gt;=N85,"Partially eligible","Not yet"))</f>
        <v>Fully eligible</v>
      </c>
      <c r="R85" s="11"/>
      <c r="S85" s="11"/>
      <c r="T85" s="11"/>
      <c r="U85" s="12" t="str">
        <f aca="false">IF(OR(R85="",S85=""),"",S85-R85-T85)</f>
        <v/>
      </c>
      <c r="V85" s="13"/>
    </row>
    <row r="86" customFormat="false" ht="30" hidden="false" customHeight="true" outlineLevel="0" collapsed="false">
      <c r="A86" s="6" t="n">
        <v>81</v>
      </c>
      <c r="B86" s="7" t="s">
        <v>164</v>
      </c>
      <c r="C86" s="7" t="s">
        <v>462</v>
      </c>
      <c r="D86" s="8" t="s">
        <v>463</v>
      </c>
      <c r="E86" s="8" t="s">
        <v>464</v>
      </c>
      <c r="F86" s="6" t="n">
        <v>1997</v>
      </c>
      <c r="G86" s="6" t="n">
        <v>2008</v>
      </c>
      <c r="H86" s="9" t="s">
        <v>465</v>
      </c>
      <c r="I86" s="9" t="s">
        <v>466</v>
      </c>
      <c r="J86" s="9" t="s">
        <v>467</v>
      </c>
      <c r="K86" s="6" t="n">
        <v>4</v>
      </c>
      <c r="L86" s="10" t="n">
        <f aca="false">F86+Rules!$B$5</f>
        <v>2027</v>
      </c>
      <c r="M86" s="10" t="n">
        <f aca="false">G86+Rules!$B$5</f>
        <v>2038</v>
      </c>
      <c r="N86" s="10" t="n">
        <f aca="false">F86+Rules!$B$6</f>
        <v>2017</v>
      </c>
      <c r="O86" s="10" t="n">
        <f aca="false">MIN(G86,Rules!$B$11-Rules!$B$5)</f>
        <v>1996</v>
      </c>
      <c r="P86" s="6" t="str">
        <f aca="false">IF(Rules!$B$11&gt;=M86,"Fully eligible",IF(Rules!$B$11&gt;=L86,"Partially eligible","Not yet"))</f>
        <v>Not yet</v>
      </c>
      <c r="Q86" s="6" t="str">
        <f aca="false">IF(Rules!$B$11&gt;=G86+Rules!$B$6,"Fully eligible",IF(Rules!$B$11&gt;=N86,"Partially eligible","Not yet"))</f>
        <v>Partially eligible</v>
      </c>
      <c r="R86" s="11"/>
      <c r="S86" s="11"/>
      <c r="T86" s="11"/>
      <c r="U86" s="12" t="str">
        <f aca="false">IF(OR(R86="",S86=""),"",S86-R86-T86)</f>
        <v/>
      </c>
      <c r="V86" s="13"/>
    </row>
    <row r="87" customFormat="false" ht="30" hidden="false" customHeight="true" outlineLevel="0" collapsed="false">
      <c r="A87" s="6" t="n">
        <v>82</v>
      </c>
      <c r="B87" s="7" t="s">
        <v>154</v>
      </c>
      <c r="C87" s="7" t="s">
        <v>468</v>
      </c>
      <c r="D87" s="8" t="s">
        <v>469</v>
      </c>
      <c r="E87" s="8" t="s">
        <v>436</v>
      </c>
      <c r="F87" s="6" t="n">
        <v>1997</v>
      </c>
      <c r="G87" s="6" t="n">
        <v>2005</v>
      </c>
      <c r="H87" s="9" t="s">
        <v>470</v>
      </c>
      <c r="I87" s="9" t="s">
        <v>471</v>
      </c>
      <c r="J87" s="9" t="s">
        <v>472</v>
      </c>
      <c r="K87" s="6" t="n">
        <v>4</v>
      </c>
      <c r="L87" s="10" t="n">
        <f aca="false">F87+Rules!$B$5</f>
        <v>2027</v>
      </c>
      <c r="M87" s="10" t="n">
        <f aca="false">G87+Rules!$B$5</f>
        <v>2035</v>
      </c>
      <c r="N87" s="10" t="n">
        <f aca="false">F87+Rules!$B$6</f>
        <v>2017</v>
      </c>
      <c r="O87" s="10" t="n">
        <f aca="false">MIN(G87,Rules!$B$11-Rules!$B$5)</f>
        <v>1996</v>
      </c>
      <c r="P87" s="6" t="str">
        <f aca="false">IF(Rules!$B$11&gt;=M87,"Fully eligible",IF(Rules!$B$11&gt;=L87,"Partially eligible","Not yet"))</f>
        <v>Not yet</v>
      </c>
      <c r="Q87" s="6" t="str">
        <f aca="false">IF(Rules!$B$11&gt;=G87+Rules!$B$6,"Fully eligible",IF(Rules!$B$11&gt;=N87,"Partially eligible","Not yet"))</f>
        <v>Fully eligible</v>
      </c>
      <c r="R87" s="11"/>
      <c r="S87" s="11"/>
      <c r="T87" s="11"/>
      <c r="U87" s="12" t="str">
        <f aca="false">IF(OR(R87="",S87=""),"",S87-R87-T87)</f>
        <v/>
      </c>
      <c r="V87" s="13"/>
    </row>
    <row r="88" customFormat="false" ht="30" hidden="false" customHeight="true" outlineLevel="0" collapsed="false">
      <c r="A88" s="6" t="n">
        <v>83</v>
      </c>
      <c r="B88" s="7" t="s">
        <v>190</v>
      </c>
      <c r="C88" s="7" t="s">
        <v>473</v>
      </c>
      <c r="D88" s="8" t="s">
        <v>474</v>
      </c>
      <c r="E88" s="8" t="s">
        <v>475</v>
      </c>
      <c r="F88" s="6" t="n">
        <v>1997</v>
      </c>
      <c r="G88" s="6" t="n">
        <v>2008</v>
      </c>
      <c r="H88" s="9" t="s">
        <v>476</v>
      </c>
      <c r="I88" s="9" t="s">
        <v>477</v>
      </c>
      <c r="J88" s="9" t="s">
        <v>478</v>
      </c>
      <c r="K88" s="6" t="n">
        <v>4</v>
      </c>
      <c r="L88" s="10" t="n">
        <f aca="false">F88+Rules!$B$5</f>
        <v>2027</v>
      </c>
      <c r="M88" s="10" t="n">
        <f aca="false">G88+Rules!$B$5</f>
        <v>2038</v>
      </c>
      <c r="N88" s="10" t="n">
        <f aca="false">F88+Rules!$B$6</f>
        <v>2017</v>
      </c>
      <c r="O88" s="10" t="n">
        <f aca="false">MIN(G88,Rules!$B$11-Rules!$B$5)</f>
        <v>1996</v>
      </c>
      <c r="P88" s="6" t="str">
        <f aca="false">IF(Rules!$B$11&gt;=M88,"Fully eligible",IF(Rules!$B$11&gt;=L88,"Partially eligible","Not yet"))</f>
        <v>Not yet</v>
      </c>
      <c r="Q88" s="6" t="str">
        <f aca="false">IF(Rules!$B$11&gt;=G88+Rules!$B$6,"Fully eligible",IF(Rules!$B$11&gt;=N88,"Partially eligible","Not yet"))</f>
        <v>Partially eligible</v>
      </c>
      <c r="R88" s="11"/>
      <c r="S88" s="11"/>
      <c r="T88" s="11"/>
      <c r="U88" s="12" t="str">
        <f aca="false">IF(OR(R88="",S88=""),"",S88-R88-T88)</f>
        <v/>
      </c>
      <c r="V88" s="13"/>
    </row>
    <row r="89" customFormat="false" ht="30" hidden="false" customHeight="true" outlineLevel="0" collapsed="false">
      <c r="A89" s="6" t="n">
        <v>84</v>
      </c>
      <c r="B89" s="7" t="s">
        <v>195</v>
      </c>
      <c r="C89" s="7" t="s">
        <v>479</v>
      </c>
      <c r="D89" s="8" t="s">
        <v>480</v>
      </c>
      <c r="E89" s="8" t="s">
        <v>475</v>
      </c>
      <c r="F89" s="6" t="n">
        <v>1997</v>
      </c>
      <c r="G89" s="6" t="n">
        <v>2008</v>
      </c>
      <c r="H89" s="9" t="s">
        <v>481</v>
      </c>
      <c r="I89" s="9" t="s">
        <v>482</v>
      </c>
      <c r="J89" s="9" t="s">
        <v>483</v>
      </c>
      <c r="K89" s="6" t="n">
        <v>4</v>
      </c>
      <c r="L89" s="10" t="n">
        <f aca="false">F89+Rules!$B$5</f>
        <v>2027</v>
      </c>
      <c r="M89" s="10" t="n">
        <f aca="false">G89+Rules!$B$5</f>
        <v>2038</v>
      </c>
      <c r="N89" s="10" t="n">
        <f aca="false">F89+Rules!$B$6</f>
        <v>2017</v>
      </c>
      <c r="O89" s="10" t="n">
        <f aca="false">MIN(G89,Rules!$B$11-Rules!$B$5)</f>
        <v>1996</v>
      </c>
      <c r="P89" s="6" t="str">
        <f aca="false">IF(Rules!$B$11&gt;=M89,"Fully eligible",IF(Rules!$B$11&gt;=L89,"Partially eligible","Not yet"))</f>
        <v>Not yet</v>
      </c>
      <c r="Q89" s="6" t="str">
        <f aca="false">IF(Rules!$B$11&gt;=G89+Rules!$B$6,"Fully eligible",IF(Rules!$B$11&gt;=N89,"Partially eligible","Not yet"))</f>
        <v>Partially eligible</v>
      </c>
      <c r="R89" s="11"/>
      <c r="S89" s="11"/>
      <c r="T89" s="11"/>
      <c r="U89" s="12" t="str">
        <f aca="false">IF(OR(R89="",S89=""),"",S89-R89-T89)</f>
        <v/>
      </c>
      <c r="V89" s="13"/>
    </row>
    <row r="90" customFormat="false" ht="30" hidden="false" customHeight="true" outlineLevel="0" collapsed="false">
      <c r="A90" s="6" t="n">
        <v>85</v>
      </c>
      <c r="B90" s="7" t="s">
        <v>207</v>
      </c>
      <c r="C90" s="7" t="s">
        <v>484</v>
      </c>
      <c r="D90" s="8" t="s">
        <v>485</v>
      </c>
      <c r="E90" s="8" t="s">
        <v>475</v>
      </c>
      <c r="F90" s="6" t="n">
        <v>2001</v>
      </c>
      <c r="G90" s="6" t="n">
        <v>2011</v>
      </c>
      <c r="H90" s="9" t="s">
        <v>486</v>
      </c>
      <c r="I90" s="9" t="s">
        <v>487</v>
      </c>
      <c r="J90" s="9" t="s">
        <v>488</v>
      </c>
      <c r="K90" s="6" t="n">
        <v>4</v>
      </c>
      <c r="L90" s="10" t="n">
        <f aca="false">F90+Rules!$B$5</f>
        <v>2031</v>
      </c>
      <c r="M90" s="10" t="n">
        <f aca="false">G90+Rules!$B$5</f>
        <v>2041</v>
      </c>
      <c r="N90" s="10" t="n">
        <f aca="false">F90+Rules!$B$6</f>
        <v>2021</v>
      </c>
      <c r="O90" s="10" t="n">
        <f aca="false">MIN(G90,Rules!$B$11-Rules!$B$5)</f>
        <v>1996</v>
      </c>
      <c r="P90" s="6" t="str">
        <f aca="false">IF(Rules!$B$11&gt;=M90,"Fully eligible",IF(Rules!$B$11&gt;=L90,"Partially eligible","Not yet"))</f>
        <v>Not yet</v>
      </c>
      <c r="Q90" s="6" t="str">
        <f aca="false">IF(Rules!$B$11&gt;=G90+Rules!$B$6,"Fully eligible",IF(Rules!$B$11&gt;=N90,"Partially eligible","Not yet"))</f>
        <v>Partially eligible</v>
      </c>
      <c r="R90" s="11"/>
      <c r="S90" s="11"/>
      <c r="T90" s="11"/>
      <c r="U90" s="12" t="str">
        <f aca="false">IF(OR(R90="",S90=""),"",S90-R90-T90)</f>
        <v/>
      </c>
      <c r="V90" s="13"/>
    </row>
    <row r="92" customFormat="false" ht="15" hidden="false" customHeight="false" outlineLevel="0" collapsed="false">
      <c r="B92" s="14" t="s">
        <v>489</v>
      </c>
    </row>
    <row r="93" customFormat="false" ht="15" hidden="false" customHeight="false" outlineLevel="0" collapsed="false">
      <c r="B93" s="15" t="s">
        <v>490</v>
      </c>
      <c r="C93" s="16" t="s">
        <v>491</v>
      </c>
    </row>
    <row r="94" customFormat="false" ht="15" hidden="false" customHeight="false" outlineLevel="0" collapsed="false">
      <c r="B94" s="17" t="s">
        <v>492</v>
      </c>
      <c r="C94" s="16" t="s">
        <v>493</v>
      </c>
    </row>
    <row r="95" customFormat="false" ht="15" hidden="false" customHeight="false" outlineLevel="0" collapsed="false">
      <c r="B95" s="17" t="s">
        <v>494</v>
      </c>
      <c r="C95" s="16" t="s">
        <v>495</v>
      </c>
    </row>
    <row r="96" customFormat="false" ht="15" hidden="false" customHeight="false" outlineLevel="0" collapsed="false">
      <c r="B96" s="17" t="s">
        <v>496</v>
      </c>
      <c r="C96" s="16" t="s">
        <v>497</v>
      </c>
    </row>
  </sheetData>
  <conditionalFormatting sqref="P6:P90">
    <cfRule type="expression" priority="2" aboveAverage="0" equalAverage="0" bottom="0" percent="0" rank="0" text="" dxfId="12">
      <formula>P6="Fully eligible"</formula>
    </cfRule>
    <cfRule type="expression" priority="3" aboveAverage="0" equalAverage="0" bottom="0" percent="0" rank="0" text="" dxfId="13">
      <formula>P6="Partially eligible"</formula>
    </cfRule>
    <cfRule type="expression" priority="4" aboveAverage="0" equalAverage="0" bottom="0" percent="0" rank="0" text="" dxfId="14">
      <formula>P6="Not yet"</formula>
    </cfRule>
  </conditionalFormatting>
  <conditionalFormatting sqref="Q6:Q90">
    <cfRule type="expression" priority="5" aboveAverage="0" equalAverage="0" bottom="0" percent="0" rank="0" text="" dxfId="12">
      <formula>Q6="Fully eligible"</formula>
    </cfRule>
    <cfRule type="expression" priority="6" aboveAverage="0" equalAverage="0" bottom="0" percent="0" rank="0" text="" dxfId="13">
      <formula>Q6="Partially eligible"</formula>
    </cfRule>
    <cfRule type="expression" priority="7" aboveAverage="0" equalAverage="0" bottom="0" percent="0" rank="0" text="" dxfId="14">
      <formula>Q6="Not yet"</formula>
    </cfRule>
  </conditionalFormatting>
  <conditionalFormatting sqref="K6:K90">
    <cfRule type="dataBar" priority="8">
      <dataBar showValue="1" minLength="10" maxLength="90">
        <cfvo type="num" val="0"/>
        <cfvo type="num" val="5"/>
        <color rgb="FFC9A227"/>
      </dataBar>
      <extLst>
        <ext xmlns:x14="http://schemas.microsoft.com/office/spreadsheetml/2009/9/main" uri="{B025F937-C7B1-47D3-B67F-A62EFF666E3E}">
          <x14:id>{83A35660-FAF9-48AA-AB5E-2A8BF9E2428E}</x14:id>
        </ext>
      </extLst>
    </cfRule>
  </conditionalFormatting>
  <conditionalFormatting sqref="U6:U90">
    <cfRule type="expression" priority="9" aboveAverage="0" equalAverage="0" bottom="0" percent="0" rank="0" text="" dxfId="15">
      <formula>AND(U6&lt;&gt;"",U6&lt;0)</formula>
    </cfRule>
  </conditionalFormatting>
  <dataValidations count="1">
    <dataValidation allowBlank="true" errorStyle="stop" operator="between" showDropDown="false" showErrorMessage="false" showInputMessage="false" sqref="K6:K9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A35660-FAF9-48AA-AB5E-2A8BF9E2428E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C9A227"/>
              <x14:axisColor rgb="FF000000"/>
            </x14:dataBar>
          </x14:cfRule>
          <xm:sqref>K6:K90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498</v>
      </c>
    </row>
    <row r="2" customFormat="false" ht="15" hidden="false" customHeight="false" outlineLevel="0" collapsed="false">
      <c r="A2" s="2" t="s">
        <v>499</v>
      </c>
    </row>
    <row r="4" customFormat="false" ht="15" hidden="false" customHeight="false" outlineLevel="0" collapsed="false">
      <c r="A4" s="18" t="s">
        <v>500</v>
      </c>
      <c r="B4" s="18" t="s">
        <v>501</v>
      </c>
      <c r="C4" s="18" t="s">
        <v>23</v>
      </c>
    </row>
    <row r="5" customFormat="false" ht="30" hidden="false" customHeight="true" outlineLevel="0" collapsed="false">
      <c r="A5" s="19" t="s">
        <v>502</v>
      </c>
      <c r="B5" s="20" t="n">
        <v>30</v>
      </c>
      <c r="C5" s="21" t="s">
        <v>503</v>
      </c>
    </row>
    <row r="6" customFormat="false" ht="30" hidden="false" customHeight="true" outlineLevel="0" collapsed="false">
      <c r="A6" s="19" t="s">
        <v>504</v>
      </c>
      <c r="B6" s="20" t="n">
        <v>20</v>
      </c>
      <c r="C6" s="21" t="s">
        <v>505</v>
      </c>
    </row>
    <row r="7" customFormat="false" ht="30" hidden="false" customHeight="true" outlineLevel="0" collapsed="false">
      <c r="A7" s="19" t="s">
        <v>506</v>
      </c>
      <c r="B7" s="20" t="n">
        <v>30</v>
      </c>
      <c r="C7" s="21" t="s">
        <v>507</v>
      </c>
    </row>
    <row r="8" customFormat="false" ht="30" hidden="false" customHeight="true" outlineLevel="0" collapsed="false">
      <c r="A8" s="19" t="s">
        <v>508</v>
      </c>
      <c r="B8" s="20" t="n">
        <v>30</v>
      </c>
      <c r="C8" s="21" t="s">
        <v>509</v>
      </c>
    </row>
    <row r="9" customFormat="false" ht="30" hidden="false" customHeight="true" outlineLevel="0" collapsed="false">
      <c r="A9" s="19" t="s">
        <v>510</v>
      </c>
      <c r="B9" s="20" t="n">
        <v>30</v>
      </c>
      <c r="C9" s="21" t="s">
        <v>511</v>
      </c>
    </row>
    <row r="11" customFormat="false" ht="15" hidden="false" customHeight="false" outlineLevel="0" collapsed="false">
      <c r="A11" s="22" t="s">
        <v>512</v>
      </c>
      <c r="B11" s="23" t="n">
        <f aca="true">YEAR(TODAY())</f>
        <v>2026</v>
      </c>
      <c r="C11" s="24" t="s">
        <v>513</v>
      </c>
    </row>
    <row r="13" customFormat="false" ht="15" hidden="false" customHeight="false" outlineLevel="0" collapsed="false">
      <c r="A13" s="24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2026-10-21T11:18:09Z</dcterms:created>
  <dc:creator>openpyxl</dc:creator>
  <dc:description/>
  <dc:language>en-US</dc:language>
  <cp:lastModifiedBy/>
  <dcterms:modified xsi:type="dcterms:W3CDTF">2026-10-21T11:18:09Z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